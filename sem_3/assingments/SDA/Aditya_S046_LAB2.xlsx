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stme.student\Desktop\AM\LAB 2\"/>
    </mc:Choice>
  </mc:AlternateContent>
  <xr:revisionPtr revIDLastSave="0" documentId="13_ncr:1_{8A1D8867-3CB8-4A29-8F8D-C3509186A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2" i="2"/>
  <c r="C13" i="2"/>
  <c r="C10" i="2"/>
  <c r="B11" i="2"/>
  <c r="B12" i="2"/>
  <c r="B13" i="2"/>
  <c r="B10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B46" i="1"/>
  <c r="Q2" i="1" s="1"/>
  <c r="S2" i="1" s="1"/>
  <c r="L3" i="1"/>
  <c r="L4" i="1"/>
  <c r="L5" i="1"/>
  <c r="L6" i="1"/>
  <c r="L7" i="1"/>
  <c r="L8" i="1"/>
  <c r="L9" i="1"/>
  <c r="L10" i="1"/>
  <c r="L11" i="1"/>
  <c r="N11" i="1" s="1"/>
  <c r="L12" i="1"/>
  <c r="N12" i="1" s="1"/>
  <c r="L13" i="1"/>
  <c r="N13" i="1" s="1"/>
  <c r="L14" i="1"/>
  <c r="L15" i="1"/>
  <c r="L16" i="1"/>
  <c r="L17" i="1"/>
  <c r="L18" i="1"/>
  <c r="L19" i="1"/>
  <c r="L20" i="1"/>
  <c r="L21" i="1"/>
  <c r="L22" i="1"/>
  <c r="L23" i="1"/>
  <c r="N23" i="1" s="1"/>
  <c r="L24" i="1"/>
  <c r="N24" i="1" s="1"/>
  <c r="L25" i="1"/>
  <c r="N25" i="1" s="1"/>
  <c r="L26" i="1"/>
  <c r="L27" i="1"/>
  <c r="L28" i="1"/>
  <c r="L29" i="1"/>
  <c r="L30" i="1"/>
  <c r="L3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4" i="1"/>
  <c r="N15" i="1"/>
  <c r="N16" i="1"/>
  <c r="N17" i="1"/>
  <c r="N18" i="1"/>
  <c r="N19" i="1"/>
  <c r="N20" i="1"/>
  <c r="N21" i="1"/>
  <c r="N22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2" i="1"/>
  <c r="K2" i="1" a="1"/>
  <c r="K2" i="1" s="1"/>
  <c r="J6" i="1"/>
  <c r="J7" i="1"/>
  <c r="J8" i="1"/>
  <c r="J9" i="1"/>
  <c r="J18" i="1"/>
  <c r="J19" i="1"/>
  <c r="J20" i="1"/>
  <c r="J21" i="1"/>
  <c r="J30" i="1"/>
  <c r="J31" i="1"/>
  <c r="J2" i="1"/>
  <c r="I3" i="1"/>
  <c r="J3" i="1" s="1"/>
  <c r="I4" i="1"/>
  <c r="J4" i="1" s="1"/>
  <c r="I5" i="1"/>
  <c r="J5" i="1" s="1"/>
  <c r="I6" i="1"/>
  <c r="I7" i="1"/>
  <c r="I8" i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I19" i="1"/>
  <c r="I20" i="1"/>
  <c r="I21" i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I31" i="1"/>
  <c r="I2" i="1"/>
  <c r="Q26" i="1" l="1"/>
  <c r="S26" i="1" s="1"/>
  <c r="Q24" i="1"/>
  <c r="S24" i="1" s="1"/>
  <c r="Q23" i="1"/>
  <c r="S23" i="1" s="1"/>
  <c r="Q19" i="1"/>
  <c r="S19" i="1" s="1"/>
  <c r="Q22" i="1"/>
  <c r="S22" i="1" s="1"/>
  <c r="Q18" i="1"/>
  <c r="S18" i="1" s="1"/>
  <c r="Q30" i="1"/>
  <c r="S30" i="1" s="1"/>
  <c r="Q14" i="1"/>
  <c r="S14" i="1" s="1"/>
  <c r="Q11" i="1"/>
  <c r="S11" i="1" s="1"/>
  <c r="Q10" i="1"/>
  <c r="S10" i="1" s="1"/>
  <c r="Q7" i="1"/>
  <c r="S7" i="1" s="1"/>
  <c r="Q31" i="1"/>
  <c r="S31" i="1" s="1"/>
  <c r="Q13" i="1"/>
  <c r="S13" i="1" s="1"/>
  <c r="Q12" i="1"/>
  <c r="S12" i="1" s="1"/>
  <c r="Q25" i="1"/>
  <c r="S25" i="1" s="1"/>
  <c r="Q6" i="1"/>
  <c r="S6" i="1" s="1"/>
  <c r="Q21" i="1"/>
  <c r="S21" i="1" s="1"/>
  <c r="Q9" i="1"/>
  <c r="S9" i="1" s="1"/>
  <c r="Q20" i="1"/>
  <c r="S20" i="1" s="1"/>
  <c r="Q8" i="1"/>
  <c r="S8" i="1" s="1"/>
  <c r="Q29" i="1"/>
  <c r="S29" i="1" s="1"/>
  <c r="Q17" i="1"/>
  <c r="S17" i="1" s="1"/>
  <c r="Q5" i="1"/>
  <c r="S5" i="1" s="1"/>
  <c r="Q28" i="1"/>
  <c r="S28" i="1" s="1"/>
  <c r="Q16" i="1"/>
  <c r="S16" i="1" s="1"/>
  <c r="Q4" i="1"/>
  <c r="S4" i="1" s="1"/>
  <c r="Q27" i="1"/>
  <c r="S27" i="1" s="1"/>
  <c r="Q15" i="1"/>
  <c r="S15" i="1" s="1"/>
  <c r="Q3" i="1"/>
  <c r="S3" i="1" s="1"/>
  <c r="E2" i="2"/>
  <c r="A2" i="2"/>
  <c r="B2" i="2"/>
  <c r="C2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<sst xmlns="http://schemas.openxmlformats.org/spreadsheetml/2006/main" count="184" uniqueCount="117">
  <si>
    <t>Transaction ID</t>
  </si>
  <si>
    <t>Order Date</t>
  </si>
  <si>
    <t>Customer Name</t>
  </si>
  <si>
    <t>Product Name</t>
  </si>
  <si>
    <t>Category</t>
  </si>
  <si>
    <t>Region</t>
  </si>
  <si>
    <t>Quantity</t>
  </si>
  <si>
    <t>Unit Price</t>
  </si>
  <si>
    <t>TXN001</t>
  </si>
  <si>
    <t>Kabir Gupta</t>
  </si>
  <si>
    <t>USB Cable</t>
  </si>
  <si>
    <t>Electronics</t>
  </si>
  <si>
    <t>North</t>
  </si>
  <si>
    <t>TXN002</t>
  </si>
  <si>
    <t>Vivaan Menon</t>
  </si>
  <si>
    <t>Face Wash</t>
  </si>
  <si>
    <t>Beauty</t>
  </si>
  <si>
    <t>TXN003</t>
  </si>
  <si>
    <t>Rohan Verma</t>
  </si>
  <si>
    <t>Yoga Mat</t>
  </si>
  <si>
    <t>Sports</t>
  </si>
  <si>
    <t>TXN004</t>
  </si>
  <si>
    <t>Manav Kapoor</t>
  </si>
  <si>
    <t>West</t>
  </si>
  <si>
    <t>TXN005</t>
  </si>
  <si>
    <t>Kavya Joshi</t>
  </si>
  <si>
    <t>Gel Pen Set</t>
  </si>
  <si>
    <t>Stationery</t>
  </si>
  <si>
    <t>East</t>
  </si>
  <si>
    <t>TXN006</t>
  </si>
  <si>
    <t>Aditya Reddy</t>
  </si>
  <si>
    <t>Sketch Book</t>
  </si>
  <si>
    <t>TXN007</t>
  </si>
  <si>
    <t>Priya Verma</t>
  </si>
  <si>
    <t>Bluetooth Speaker</t>
  </si>
  <si>
    <t>TXN008</t>
  </si>
  <si>
    <t>Kavya Gupta</t>
  </si>
  <si>
    <t>Denim Jeans</t>
  </si>
  <si>
    <t>Apparel</t>
  </si>
  <si>
    <t>TXN009</t>
  </si>
  <si>
    <t>Ananya Patel</t>
  </si>
  <si>
    <t>South</t>
  </si>
  <si>
    <t>TXN010</t>
  </si>
  <si>
    <t>Pooja Nair</t>
  </si>
  <si>
    <t>Desk Lamp</t>
  </si>
  <si>
    <t>Home &amp; Kitchen</t>
  </si>
  <si>
    <t>TXN011</t>
  </si>
  <si>
    <t>Siddharth Gupta</t>
  </si>
  <si>
    <t>TXN012</t>
  </si>
  <si>
    <t>Vivaan Kapoor</t>
  </si>
  <si>
    <t>TXN013</t>
  </si>
  <si>
    <t>Pooja Rao</t>
  </si>
  <si>
    <t>TXN014</t>
  </si>
  <si>
    <t>Devansh Kapoor</t>
  </si>
  <si>
    <t>TXN015</t>
  </si>
  <si>
    <t>Aditya Kapoor</t>
  </si>
  <si>
    <t>TXN016</t>
  </si>
  <si>
    <t>Priya Sharma</t>
  </si>
  <si>
    <t>TXN017</t>
  </si>
  <si>
    <t>Vivaan Patel</t>
  </si>
  <si>
    <t>Cotton T-Shirt</t>
  </si>
  <si>
    <t>TXN018</t>
  </si>
  <si>
    <t>Pooja Verma</t>
  </si>
  <si>
    <t>TXN019</t>
  </si>
  <si>
    <t>Neha Joshi</t>
  </si>
  <si>
    <t>Lipstick</t>
  </si>
  <si>
    <t>TXN020</t>
  </si>
  <si>
    <t>Rohan Iyer</t>
  </si>
  <si>
    <t>TXN021</t>
  </si>
  <si>
    <t>Aarav Das</t>
  </si>
  <si>
    <t>TXN022</t>
  </si>
  <si>
    <t>Kavya Nair</t>
  </si>
  <si>
    <t>TXN023</t>
  </si>
  <si>
    <t>TXN024</t>
  </si>
  <si>
    <t>Arjun Gupta</t>
  </si>
  <si>
    <t>Cricket Bat</t>
  </si>
  <si>
    <t>TXN025</t>
  </si>
  <si>
    <t>Meera Verma</t>
  </si>
  <si>
    <t>TXN026</t>
  </si>
  <si>
    <t>Vivaan Verma</t>
  </si>
  <si>
    <t>Wireless Mouse</t>
  </si>
  <si>
    <t>TXN027</t>
  </si>
  <si>
    <t>Riya Sharma</t>
  </si>
  <si>
    <t>TXN028</t>
  </si>
  <si>
    <t>Sneha Nair</t>
  </si>
  <si>
    <t>Running Shoes</t>
  </si>
  <si>
    <t>TXN029</t>
  </si>
  <si>
    <t>Rahul Das</t>
  </si>
  <si>
    <t>Non-Stick Pan</t>
  </si>
  <si>
    <t>TXN030</t>
  </si>
  <si>
    <t>Karan Bhatt</t>
  </si>
  <si>
    <t>Revenue</t>
  </si>
  <si>
    <t>Discount Rate</t>
  </si>
  <si>
    <t>Discounted Revenue</t>
  </si>
  <si>
    <t>Constants</t>
  </si>
  <si>
    <t>Total Revenue (Discounted)</t>
  </si>
  <si>
    <t>Avg Order Value</t>
  </si>
  <si>
    <t>Total Transactions</t>
  </si>
  <si>
    <t>Highest Order Value</t>
  </si>
  <si>
    <t>Lowest Order Value</t>
  </si>
  <si>
    <t>Customer Code</t>
  </si>
  <si>
    <t>Upper</t>
  </si>
  <si>
    <t>LEFT</t>
  </si>
  <si>
    <t>MID</t>
  </si>
  <si>
    <t>Product Code</t>
  </si>
  <si>
    <t>Cust Name Formatted</t>
  </si>
  <si>
    <t>Days Since Purchase</t>
  </si>
  <si>
    <t>Todays Date</t>
  </si>
  <si>
    <t>Order Month</t>
  </si>
  <si>
    <t>Order Age</t>
  </si>
  <si>
    <t>north</t>
  </si>
  <si>
    <t>south</t>
  </si>
  <si>
    <t>east</t>
  </si>
  <si>
    <t>west</t>
  </si>
  <si>
    <t>Total Rev</t>
  </si>
  <si>
    <t>No. of Transc</t>
  </si>
  <si>
    <t>Max revenue is in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</si>
</sst>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10" xfId="0" applyFont="1" applyBorder="1" applyAlignment="1">
      <alignment horizontal="center"/>
    </xf>
    <xf numFmtId="9" fontId="16" fillId="0" borderId="10" xfId="1" applyFont="1" applyBorder="1" applyAlignment="1">
      <alignment horizontal="center"/>
    </xf>
    <xf numFmtId="0" fontId="0" fillId="0" borderId="10" xfId="0" applyBorder="1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44" fontId="0" fillId="0" borderId="10" xfId="43" applyFont="1" applyBorder="1" applyAlignment="1">
      <alignment horizontal="center"/>
    </xf>
    <xf numFmtId="44" fontId="0" fillId="0" borderId="10" xfId="43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showGridLines="0" tabSelected="1" workbookViewId="0">
      <pane ySplit="1" topLeftCell="A23" activePane="bottomLeft" state="frozen"/>
      <selection pane="bottomLeft" activeCell="K42" sqref="K42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5.42578125" bestFit="1" customWidth="1"/>
    <col min="4" max="4" width="17.7109375" bestFit="1" customWidth="1"/>
    <col min="5" max="5" width="15.42578125" bestFit="1" customWidth="1"/>
    <col min="6" max="6" width="7.140625" bestFit="1" customWidth="1"/>
    <col min="7" max="7" width="8.7109375" bestFit="1" customWidth="1"/>
    <col min="8" max="8" width="9.85546875" bestFit="1" customWidth="1"/>
    <col min="9" max="9" width="9.7109375" bestFit="1" customWidth="1"/>
    <col min="10" max="10" width="19.5703125" bestFit="1" customWidth="1"/>
    <col min="11" max="11" width="17.85546875" bestFit="1" customWidth="1"/>
    <col min="12" max="12" width="4.85546875" bestFit="1" customWidth="1"/>
    <col min="13" max="13" width="4.7109375" bestFit="1" customWidth="1"/>
    <col min="14" max="14" width="14.7109375" bestFit="1" customWidth="1"/>
    <col min="15" max="15" width="12.85546875" bestFit="1" customWidth="1"/>
    <col min="16" max="16" width="20.5703125" bestFit="1" customWidth="1"/>
    <col min="17" max="17" width="19" bestFit="1" customWidth="1"/>
    <col min="18" max="18" width="12.5703125" bestFit="1" customWidth="1"/>
    <col min="19" max="19" width="10" bestFit="1" customWidth="1"/>
    <col min="20" max="20" width="13.28515625" bestFit="1" customWidth="1"/>
    <col min="21" max="21" width="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91</v>
      </c>
      <c r="J1" s="1" t="s">
        <v>93</v>
      </c>
      <c r="K1" s="1" t="s">
        <v>101</v>
      </c>
      <c r="L1" s="1" t="s">
        <v>102</v>
      </c>
      <c r="M1" s="1" t="s">
        <v>103</v>
      </c>
      <c r="N1" s="1" t="s">
        <v>100</v>
      </c>
      <c r="O1" s="1" t="s">
        <v>104</v>
      </c>
      <c r="P1" s="1" t="s">
        <v>105</v>
      </c>
      <c r="Q1" s="1" t="s">
        <v>106</v>
      </c>
      <c r="R1" s="1" t="s">
        <v>108</v>
      </c>
      <c r="S1" s="1" t="s">
        <v>109</v>
      </c>
    </row>
    <row r="2" spans="1:19" x14ac:dyDescent="0.25">
      <c r="A2" s="6" t="s">
        <v>8</v>
      </c>
      <c r="B2" s="7">
        <v>46194</v>
      </c>
      <c r="C2" s="6" t="s">
        <v>9</v>
      </c>
      <c r="D2" s="6" t="s">
        <v>10</v>
      </c>
      <c r="E2" s="6" t="s">
        <v>11</v>
      </c>
      <c r="F2" s="6" t="s">
        <v>12</v>
      </c>
      <c r="G2" s="6">
        <v>5</v>
      </c>
      <c r="H2" s="10">
        <v>142.94999999999999</v>
      </c>
      <c r="I2" s="10">
        <f>G2*H2</f>
        <v>714.75</v>
      </c>
      <c r="J2" s="9">
        <f t="shared" ref="J2:J31" si="0">I2-(I2*$B$45)</f>
        <v>643.27499999999998</v>
      </c>
      <c r="K2" s="6" t="str" cm="1">
        <f t="array" ref="K2:K31">UPPER(C2:C31)</f>
        <v>KABIR GUPTA</v>
      </c>
      <c r="L2" s="6" t="str">
        <f>LEFT(K2,2)</f>
        <v>KA</v>
      </c>
      <c r="M2" s="6" t="str">
        <f t="shared" ref="M2:M31" si="1">MID(K2,FIND(" ",K2)+1,2)</f>
        <v>GU</v>
      </c>
      <c r="N2" s="6" t="str">
        <f>(L2&amp;M2)</f>
        <v>KAGU</v>
      </c>
      <c r="O2" s="6" t="str">
        <f>UPPER(LEFT(D2,3))&amp;"-"&amp;UPPER(LEFT(E2,2))</f>
        <v>USB-EL</v>
      </c>
      <c r="P2" s="6" t="str">
        <f>PROPER(C2)</f>
        <v>Kabir Gupta</v>
      </c>
      <c r="Q2" s="8">
        <f ca="1">$B$46-B2</f>
        <v>38</v>
      </c>
      <c r="R2" s="6" t="str">
        <f>TEXT(B2, "MMM")</f>
        <v>Jun</v>
      </c>
      <c r="S2" s="6" t="str">
        <f ca="1">PROPER(IF(Q2&gt;30, "old order", "recent"))</f>
        <v>Old Order</v>
      </c>
    </row>
    <row r="3" spans="1:19" x14ac:dyDescent="0.25">
      <c r="A3" s="6" t="s">
        <v>13</v>
      </c>
      <c r="B3" s="7">
        <v>46211</v>
      </c>
      <c r="C3" s="6" t="s">
        <v>14</v>
      </c>
      <c r="D3" s="6" t="s">
        <v>15</v>
      </c>
      <c r="E3" s="6" t="s">
        <v>16</v>
      </c>
      <c r="F3" s="6" t="s">
        <v>12</v>
      </c>
      <c r="G3" s="6">
        <v>1</v>
      </c>
      <c r="H3" s="10">
        <v>197.68</v>
      </c>
      <c r="I3" s="10">
        <f t="shared" ref="I3:I31" si="2">G3*H3</f>
        <v>197.68</v>
      </c>
      <c r="J3" s="9">
        <f t="shared" si="0"/>
        <v>177.91200000000001</v>
      </c>
      <c r="K3" s="6" t="str">
        <v>VIVAAN MENON</v>
      </c>
      <c r="L3" s="6" t="str">
        <f t="shared" ref="L3:L31" si="3">LEFT(K3,2)</f>
        <v>VI</v>
      </c>
      <c r="M3" s="6" t="str">
        <f t="shared" si="1"/>
        <v>ME</v>
      </c>
      <c r="N3" s="6" t="str">
        <f t="shared" ref="N3:N31" si="4">(L3&amp;M3)</f>
        <v>VIME</v>
      </c>
      <c r="O3" s="6" t="str">
        <f t="shared" ref="O3:O31" si="5">UPPER(LEFT(D3,3))&amp;"-"&amp;UPPER(LEFT(E3,2))</f>
        <v>FAC-BE</v>
      </c>
      <c r="P3" s="6" t="str">
        <f t="shared" ref="P3:P31" si="6">PROPER(C3)</f>
        <v>Vivaan Menon</v>
      </c>
      <c r="Q3" s="8">
        <f t="shared" ref="Q3:Q31" ca="1" si="7">$B$46-B3</f>
        <v>21</v>
      </c>
      <c r="R3" s="6" t="str">
        <f t="shared" ref="R3:R31" si="8">TEXT(B3, "MMM")</f>
        <v>Jul</v>
      </c>
      <c r="S3" s="6" t="str">
        <f t="shared" ref="S3:S31" ca="1" si="9">PROPER(IF(Q3&gt;30, "old order", "recent"))</f>
        <v>Recent</v>
      </c>
    </row>
    <row r="4" spans="1:19" x14ac:dyDescent="0.25">
      <c r="A4" s="6" t="s">
        <v>17</v>
      </c>
      <c r="B4" s="7">
        <v>46178</v>
      </c>
      <c r="C4" s="6" t="s">
        <v>18</v>
      </c>
      <c r="D4" s="6" t="s">
        <v>19</v>
      </c>
      <c r="E4" s="6" t="s">
        <v>20</v>
      </c>
      <c r="F4" s="6" t="s">
        <v>12</v>
      </c>
      <c r="G4" s="6">
        <v>5</v>
      </c>
      <c r="H4" s="10">
        <v>672.7</v>
      </c>
      <c r="I4" s="10">
        <f t="shared" si="2"/>
        <v>3363.5</v>
      </c>
      <c r="J4" s="9">
        <f t="shared" si="0"/>
        <v>3027.15</v>
      </c>
      <c r="K4" s="6" t="str">
        <v>ROHAN VERMA</v>
      </c>
      <c r="L4" s="6" t="str">
        <f t="shared" si="3"/>
        <v>RO</v>
      </c>
      <c r="M4" s="6" t="str">
        <f t="shared" si="1"/>
        <v>VE</v>
      </c>
      <c r="N4" s="6" t="str">
        <f t="shared" si="4"/>
        <v>ROVE</v>
      </c>
      <c r="O4" s="6" t="str">
        <f t="shared" si="5"/>
        <v>YOG-SP</v>
      </c>
      <c r="P4" s="6" t="str">
        <f t="shared" si="6"/>
        <v>Rohan Verma</v>
      </c>
      <c r="Q4" s="8">
        <f t="shared" ca="1" si="7"/>
        <v>54</v>
      </c>
      <c r="R4" s="6" t="str">
        <f t="shared" si="8"/>
        <v>Jun</v>
      </c>
      <c r="S4" s="6" t="str">
        <f t="shared" ca="1" si="9"/>
        <v>Old Order</v>
      </c>
    </row>
    <row r="5" spans="1:19" x14ac:dyDescent="0.25">
      <c r="A5" s="6" t="s">
        <v>21</v>
      </c>
      <c r="B5" s="7">
        <v>46188</v>
      </c>
      <c r="C5" s="6" t="s">
        <v>22</v>
      </c>
      <c r="D5" s="6" t="s">
        <v>10</v>
      </c>
      <c r="E5" s="6" t="s">
        <v>11</v>
      </c>
      <c r="F5" s="6" t="s">
        <v>23</v>
      </c>
      <c r="G5" s="6">
        <v>1</v>
      </c>
      <c r="H5" s="10">
        <v>156.1</v>
      </c>
      <c r="I5" s="10">
        <f t="shared" si="2"/>
        <v>156.1</v>
      </c>
      <c r="J5" s="9">
        <f t="shared" si="0"/>
        <v>140.49</v>
      </c>
      <c r="K5" s="6" t="str">
        <v>MANAV KAPOOR</v>
      </c>
      <c r="L5" s="6" t="str">
        <f t="shared" si="3"/>
        <v>MA</v>
      </c>
      <c r="M5" s="6" t="str">
        <f t="shared" si="1"/>
        <v>KA</v>
      </c>
      <c r="N5" s="6" t="str">
        <f t="shared" si="4"/>
        <v>MAKA</v>
      </c>
      <c r="O5" s="6" t="str">
        <f t="shared" si="5"/>
        <v>USB-EL</v>
      </c>
      <c r="P5" s="6" t="str">
        <f t="shared" si="6"/>
        <v>Manav Kapoor</v>
      </c>
      <c r="Q5" s="8">
        <f t="shared" ca="1" si="7"/>
        <v>44</v>
      </c>
      <c r="R5" s="6" t="str">
        <f t="shared" si="8"/>
        <v>Jun</v>
      </c>
      <c r="S5" s="6" t="str">
        <f t="shared" ca="1" si="9"/>
        <v>Old Order</v>
      </c>
    </row>
    <row r="6" spans="1:19" x14ac:dyDescent="0.25">
      <c r="A6" s="6" t="s">
        <v>24</v>
      </c>
      <c r="B6" s="7">
        <v>46176</v>
      </c>
      <c r="C6" s="6" t="s">
        <v>25</v>
      </c>
      <c r="D6" s="6" t="s">
        <v>26</v>
      </c>
      <c r="E6" s="6" t="s">
        <v>27</v>
      </c>
      <c r="F6" s="6" t="s">
        <v>28</v>
      </c>
      <c r="G6" s="6">
        <v>4</v>
      </c>
      <c r="H6" s="10">
        <v>86.8</v>
      </c>
      <c r="I6" s="10">
        <f t="shared" si="2"/>
        <v>347.2</v>
      </c>
      <c r="J6" s="9">
        <f t="shared" si="0"/>
        <v>312.48</v>
      </c>
      <c r="K6" s="6" t="str">
        <v>KAVYA JOSHI</v>
      </c>
      <c r="L6" s="6" t="str">
        <f t="shared" si="3"/>
        <v>KA</v>
      </c>
      <c r="M6" s="6" t="str">
        <f t="shared" si="1"/>
        <v>JO</v>
      </c>
      <c r="N6" s="6" t="str">
        <f t="shared" si="4"/>
        <v>KAJO</v>
      </c>
      <c r="O6" s="6" t="str">
        <f t="shared" si="5"/>
        <v>GEL-ST</v>
      </c>
      <c r="P6" s="6" t="str">
        <f t="shared" si="6"/>
        <v>Kavya Joshi</v>
      </c>
      <c r="Q6" s="8">
        <f t="shared" ca="1" si="7"/>
        <v>56</v>
      </c>
      <c r="R6" s="6" t="str">
        <f t="shared" si="8"/>
        <v>Jun</v>
      </c>
      <c r="S6" s="6" t="str">
        <f t="shared" ca="1" si="9"/>
        <v>Old Order</v>
      </c>
    </row>
    <row r="7" spans="1:19" x14ac:dyDescent="0.25">
      <c r="A7" s="6" t="s">
        <v>29</v>
      </c>
      <c r="B7" s="7">
        <v>46181</v>
      </c>
      <c r="C7" s="6" t="s">
        <v>30</v>
      </c>
      <c r="D7" s="6" t="s">
        <v>31</v>
      </c>
      <c r="E7" s="6" t="s">
        <v>27</v>
      </c>
      <c r="F7" s="6" t="s">
        <v>12</v>
      </c>
      <c r="G7" s="6">
        <v>5</v>
      </c>
      <c r="H7" s="10">
        <v>151.07</v>
      </c>
      <c r="I7" s="10">
        <f t="shared" si="2"/>
        <v>755.34999999999991</v>
      </c>
      <c r="J7" s="9">
        <f t="shared" si="0"/>
        <v>679.81499999999994</v>
      </c>
      <c r="K7" s="6" t="str">
        <v>ADITYA REDDY</v>
      </c>
      <c r="L7" s="6" t="str">
        <f t="shared" si="3"/>
        <v>AD</v>
      </c>
      <c r="M7" s="6" t="str">
        <f t="shared" si="1"/>
        <v>RE</v>
      </c>
      <c r="N7" s="6" t="str">
        <f t="shared" si="4"/>
        <v>ADRE</v>
      </c>
      <c r="O7" s="6" t="str">
        <f t="shared" si="5"/>
        <v>SKE-ST</v>
      </c>
      <c r="P7" s="6" t="str">
        <f t="shared" si="6"/>
        <v>Aditya Reddy</v>
      </c>
      <c r="Q7" s="8">
        <f t="shared" ca="1" si="7"/>
        <v>51</v>
      </c>
      <c r="R7" s="6" t="str">
        <f t="shared" si="8"/>
        <v>Jun</v>
      </c>
      <c r="S7" s="6" t="str">
        <f t="shared" ca="1" si="9"/>
        <v>Old Order</v>
      </c>
    </row>
    <row r="8" spans="1:19" x14ac:dyDescent="0.25">
      <c r="A8" s="6" t="s">
        <v>32</v>
      </c>
      <c r="B8" s="7">
        <v>46186</v>
      </c>
      <c r="C8" s="6" t="s">
        <v>33</v>
      </c>
      <c r="D8" s="6" t="s">
        <v>34</v>
      </c>
      <c r="E8" s="6" t="s">
        <v>11</v>
      </c>
      <c r="F8" s="6" t="s">
        <v>12</v>
      </c>
      <c r="G8" s="6">
        <v>5</v>
      </c>
      <c r="H8" s="10">
        <v>1454.92</v>
      </c>
      <c r="I8" s="10">
        <f t="shared" si="2"/>
        <v>7274.6</v>
      </c>
      <c r="J8" s="9">
        <f t="shared" si="0"/>
        <v>6547.14</v>
      </c>
      <c r="K8" s="6" t="str">
        <v>PRIYA VERMA</v>
      </c>
      <c r="L8" s="6" t="str">
        <f t="shared" si="3"/>
        <v>PR</v>
      </c>
      <c r="M8" s="6" t="str">
        <f t="shared" si="1"/>
        <v>VE</v>
      </c>
      <c r="N8" s="6" t="str">
        <f t="shared" si="4"/>
        <v>PRVE</v>
      </c>
      <c r="O8" s="6" t="str">
        <f t="shared" si="5"/>
        <v>BLU-EL</v>
      </c>
      <c r="P8" s="6" t="str">
        <f t="shared" si="6"/>
        <v>Priya Verma</v>
      </c>
      <c r="Q8" s="8">
        <f t="shared" ca="1" si="7"/>
        <v>46</v>
      </c>
      <c r="R8" s="6" t="str">
        <f t="shared" si="8"/>
        <v>Jun</v>
      </c>
      <c r="S8" s="6" t="str">
        <f t="shared" ca="1" si="9"/>
        <v>Old Order</v>
      </c>
    </row>
    <row r="9" spans="1:19" x14ac:dyDescent="0.25">
      <c r="A9" s="6" t="s">
        <v>35</v>
      </c>
      <c r="B9" s="7">
        <v>46217</v>
      </c>
      <c r="C9" s="6" t="s">
        <v>36</v>
      </c>
      <c r="D9" s="6" t="s">
        <v>37</v>
      </c>
      <c r="E9" s="6" t="s">
        <v>38</v>
      </c>
      <c r="F9" s="6" t="s">
        <v>23</v>
      </c>
      <c r="G9" s="6">
        <v>5</v>
      </c>
      <c r="H9" s="10">
        <v>1354.01</v>
      </c>
      <c r="I9" s="10">
        <f t="shared" si="2"/>
        <v>6770.05</v>
      </c>
      <c r="J9" s="9">
        <f t="shared" si="0"/>
        <v>6093.0450000000001</v>
      </c>
      <c r="K9" s="6" t="str">
        <v>KAVYA GUPTA</v>
      </c>
      <c r="L9" s="6" t="str">
        <f t="shared" si="3"/>
        <v>KA</v>
      </c>
      <c r="M9" s="6" t="str">
        <f t="shared" si="1"/>
        <v>GU</v>
      </c>
      <c r="N9" s="6" t="str">
        <f t="shared" si="4"/>
        <v>KAGU</v>
      </c>
      <c r="O9" s="6" t="str">
        <f t="shared" si="5"/>
        <v>DEN-AP</v>
      </c>
      <c r="P9" s="6" t="str">
        <f t="shared" si="6"/>
        <v>Kavya Gupta</v>
      </c>
      <c r="Q9" s="8">
        <f t="shared" ca="1" si="7"/>
        <v>15</v>
      </c>
      <c r="R9" s="6" t="str">
        <f t="shared" si="8"/>
        <v>Jul</v>
      </c>
      <c r="S9" s="6" t="str">
        <f t="shared" ca="1" si="9"/>
        <v>Recent</v>
      </c>
    </row>
    <row r="10" spans="1:19" x14ac:dyDescent="0.25">
      <c r="A10" s="6" t="s">
        <v>39</v>
      </c>
      <c r="B10" s="7">
        <v>46197</v>
      </c>
      <c r="C10" s="6" t="s">
        <v>40</v>
      </c>
      <c r="D10" s="6" t="s">
        <v>31</v>
      </c>
      <c r="E10" s="6" t="s">
        <v>27</v>
      </c>
      <c r="F10" s="6" t="s">
        <v>41</v>
      </c>
      <c r="G10" s="6">
        <v>1</v>
      </c>
      <c r="H10" s="10">
        <v>151.12</v>
      </c>
      <c r="I10" s="10">
        <f t="shared" si="2"/>
        <v>151.12</v>
      </c>
      <c r="J10" s="9">
        <f t="shared" si="0"/>
        <v>136.00800000000001</v>
      </c>
      <c r="K10" s="6" t="str">
        <v>ANANYA PATEL</v>
      </c>
      <c r="L10" s="6" t="str">
        <f t="shared" si="3"/>
        <v>AN</v>
      </c>
      <c r="M10" s="6" t="str">
        <f t="shared" si="1"/>
        <v>PA</v>
      </c>
      <c r="N10" s="6" t="str">
        <f t="shared" si="4"/>
        <v>ANPA</v>
      </c>
      <c r="O10" s="6" t="str">
        <f t="shared" si="5"/>
        <v>SKE-ST</v>
      </c>
      <c r="P10" s="6" t="str">
        <f t="shared" si="6"/>
        <v>Ananya Patel</v>
      </c>
      <c r="Q10" s="8">
        <f t="shared" ca="1" si="7"/>
        <v>35</v>
      </c>
      <c r="R10" s="6" t="str">
        <f t="shared" si="8"/>
        <v>Jun</v>
      </c>
      <c r="S10" s="6" t="str">
        <f t="shared" ca="1" si="9"/>
        <v>Old Order</v>
      </c>
    </row>
    <row r="11" spans="1:19" x14ac:dyDescent="0.25">
      <c r="A11" s="6" t="s">
        <v>42</v>
      </c>
      <c r="B11" s="7">
        <v>46207</v>
      </c>
      <c r="C11" s="6" t="s">
        <v>43</v>
      </c>
      <c r="D11" s="6" t="s">
        <v>44</v>
      </c>
      <c r="E11" s="6" t="s">
        <v>45</v>
      </c>
      <c r="F11" s="6" t="s">
        <v>28</v>
      </c>
      <c r="G11" s="6">
        <v>5</v>
      </c>
      <c r="H11" s="10">
        <v>942.17</v>
      </c>
      <c r="I11" s="10">
        <f t="shared" si="2"/>
        <v>4710.8499999999995</v>
      </c>
      <c r="J11" s="9">
        <f t="shared" si="0"/>
        <v>4239.7649999999994</v>
      </c>
      <c r="K11" s="6" t="str">
        <v>POOJA NAIR</v>
      </c>
      <c r="L11" s="6" t="str">
        <f t="shared" si="3"/>
        <v>PO</v>
      </c>
      <c r="M11" s="6" t="str">
        <f t="shared" si="1"/>
        <v>NA</v>
      </c>
      <c r="N11" s="6" t="str">
        <f t="shared" si="4"/>
        <v>PONA</v>
      </c>
      <c r="O11" s="6" t="str">
        <f t="shared" si="5"/>
        <v>DES-HO</v>
      </c>
      <c r="P11" s="6" t="str">
        <f t="shared" si="6"/>
        <v>Pooja Nair</v>
      </c>
      <c r="Q11" s="8">
        <f t="shared" ca="1" si="7"/>
        <v>25</v>
      </c>
      <c r="R11" s="6" t="str">
        <f t="shared" si="8"/>
        <v>Jul</v>
      </c>
      <c r="S11" s="6" t="str">
        <f t="shared" ca="1" si="9"/>
        <v>Recent</v>
      </c>
    </row>
    <row r="12" spans="1:19" x14ac:dyDescent="0.25">
      <c r="A12" s="6" t="s">
        <v>46</v>
      </c>
      <c r="B12" s="7">
        <v>46181</v>
      </c>
      <c r="C12" s="6" t="s">
        <v>47</v>
      </c>
      <c r="D12" s="6" t="s">
        <v>31</v>
      </c>
      <c r="E12" s="6" t="s">
        <v>27</v>
      </c>
      <c r="F12" s="6" t="s">
        <v>28</v>
      </c>
      <c r="G12" s="6">
        <v>2</v>
      </c>
      <c r="H12" s="10">
        <v>156.5</v>
      </c>
      <c r="I12" s="10">
        <f t="shared" si="2"/>
        <v>313</v>
      </c>
      <c r="J12" s="9">
        <f t="shared" si="0"/>
        <v>281.7</v>
      </c>
      <c r="K12" s="6" t="str">
        <v>SIDDHARTH GUPTA</v>
      </c>
      <c r="L12" s="6" t="str">
        <f t="shared" si="3"/>
        <v>SI</v>
      </c>
      <c r="M12" s="6" t="str">
        <f t="shared" si="1"/>
        <v>GU</v>
      </c>
      <c r="N12" s="6" t="str">
        <f t="shared" si="4"/>
        <v>SIGU</v>
      </c>
      <c r="O12" s="6" t="str">
        <f t="shared" si="5"/>
        <v>SKE-ST</v>
      </c>
      <c r="P12" s="6" t="str">
        <f t="shared" si="6"/>
        <v>Siddharth Gupta</v>
      </c>
      <c r="Q12" s="8">
        <f t="shared" ca="1" si="7"/>
        <v>51</v>
      </c>
      <c r="R12" s="6" t="str">
        <f t="shared" si="8"/>
        <v>Jun</v>
      </c>
      <c r="S12" s="6" t="str">
        <f t="shared" ca="1" si="9"/>
        <v>Old Order</v>
      </c>
    </row>
    <row r="13" spans="1:19" x14ac:dyDescent="0.25">
      <c r="A13" s="6" t="s">
        <v>48</v>
      </c>
      <c r="B13" s="7">
        <v>46200</v>
      </c>
      <c r="C13" s="6" t="s">
        <v>49</v>
      </c>
      <c r="D13" s="6" t="s">
        <v>34</v>
      </c>
      <c r="E13" s="6" t="s">
        <v>11</v>
      </c>
      <c r="F13" s="6" t="s">
        <v>28</v>
      </c>
      <c r="G13" s="6">
        <v>3</v>
      </c>
      <c r="H13" s="10">
        <v>1528.27</v>
      </c>
      <c r="I13" s="10">
        <f t="shared" si="2"/>
        <v>4584.8099999999995</v>
      </c>
      <c r="J13" s="9">
        <f t="shared" si="0"/>
        <v>4126.3289999999997</v>
      </c>
      <c r="K13" s="6" t="str">
        <v>VIVAAN KAPOOR</v>
      </c>
      <c r="L13" s="6" t="str">
        <f t="shared" si="3"/>
        <v>VI</v>
      </c>
      <c r="M13" s="6" t="str">
        <f t="shared" si="1"/>
        <v>KA</v>
      </c>
      <c r="N13" s="6" t="str">
        <f t="shared" si="4"/>
        <v>VIKA</v>
      </c>
      <c r="O13" s="6" t="str">
        <f t="shared" si="5"/>
        <v>BLU-EL</v>
      </c>
      <c r="P13" s="6" t="str">
        <f t="shared" si="6"/>
        <v>Vivaan Kapoor</v>
      </c>
      <c r="Q13" s="8">
        <f t="shared" ca="1" si="7"/>
        <v>32</v>
      </c>
      <c r="R13" s="6" t="str">
        <f t="shared" si="8"/>
        <v>Jun</v>
      </c>
      <c r="S13" s="6" t="str">
        <f t="shared" ca="1" si="9"/>
        <v>Old Order</v>
      </c>
    </row>
    <row r="14" spans="1:19" x14ac:dyDescent="0.25">
      <c r="A14" s="6" t="s">
        <v>50</v>
      </c>
      <c r="B14" s="7">
        <v>46212</v>
      </c>
      <c r="C14" s="6" t="s">
        <v>51</v>
      </c>
      <c r="D14" s="6" t="s">
        <v>44</v>
      </c>
      <c r="E14" s="6" t="s">
        <v>45</v>
      </c>
      <c r="F14" s="6" t="s">
        <v>12</v>
      </c>
      <c r="G14" s="6">
        <v>1</v>
      </c>
      <c r="H14" s="10">
        <v>938.98</v>
      </c>
      <c r="I14" s="10">
        <f t="shared" si="2"/>
        <v>938.98</v>
      </c>
      <c r="J14" s="9">
        <f t="shared" si="0"/>
        <v>845.08199999999999</v>
      </c>
      <c r="K14" s="6" t="str">
        <v>POOJA RAO</v>
      </c>
      <c r="L14" s="6" t="str">
        <f t="shared" si="3"/>
        <v>PO</v>
      </c>
      <c r="M14" s="6" t="str">
        <f t="shared" si="1"/>
        <v>RA</v>
      </c>
      <c r="N14" s="6" t="str">
        <f t="shared" si="4"/>
        <v>PORA</v>
      </c>
      <c r="O14" s="6" t="str">
        <f t="shared" si="5"/>
        <v>DES-HO</v>
      </c>
      <c r="P14" s="6" t="str">
        <f t="shared" si="6"/>
        <v>Pooja Rao</v>
      </c>
      <c r="Q14" s="8">
        <f t="shared" ca="1" si="7"/>
        <v>20</v>
      </c>
      <c r="R14" s="6" t="str">
        <f t="shared" si="8"/>
        <v>Jul</v>
      </c>
      <c r="S14" s="6" t="str">
        <f t="shared" ca="1" si="9"/>
        <v>Recent</v>
      </c>
    </row>
    <row r="15" spans="1:19" x14ac:dyDescent="0.25">
      <c r="A15" s="6" t="s">
        <v>52</v>
      </c>
      <c r="B15" s="7">
        <v>46204</v>
      </c>
      <c r="C15" s="6" t="s">
        <v>53</v>
      </c>
      <c r="D15" s="6" t="s">
        <v>34</v>
      </c>
      <c r="E15" s="6" t="s">
        <v>11</v>
      </c>
      <c r="F15" s="6" t="s">
        <v>12</v>
      </c>
      <c r="G15" s="6">
        <v>6</v>
      </c>
      <c r="H15" s="10">
        <v>1529.2</v>
      </c>
      <c r="I15" s="10">
        <f t="shared" si="2"/>
        <v>9175.2000000000007</v>
      </c>
      <c r="J15" s="9">
        <f t="shared" si="0"/>
        <v>8257.68</v>
      </c>
      <c r="K15" s="6" t="str">
        <v>DEVANSH KAPOOR</v>
      </c>
      <c r="L15" s="6" t="str">
        <f t="shared" si="3"/>
        <v>DE</v>
      </c>
      <c r="M15" s="6" t="str">
        <f t="shared" si="1"/>
        <v>KA</v>
      </c>
      <c r="N15" s="6" t="str">
        <f t="shared" si="4"/>
        <v>DEKA</v>
      </c>
      <c r="O15" s="6" t="str">
        <f t="shared" si="5"/>
        <v>BLU-EL</v>
      </c>
      <c r="P15" s="6" t="str">
        <f t="shared" si="6"/>
        <v>Devansh Kapoor</v>
      </c>
      <c r="Q15" s="8">
        <f t="shared" ca="1" si="7"/>
        <v>28</v>
      </c>
      <c r="R15" s="6" t="str">
        <f t="shared" si="8"/>
        <v>Jul</v>
      </c>
      <c r="S15" s="6" t="str">
        <f t="shared" ca="1" si="9"/>
        <v>Recent</v>
      </c>
    </row>
    <row r="16" spans="1:19" x14ac:dyDescent="0.25">
      <c r="A16" s="6" t="s">
        <v>54</v>
      </c>
      <c r="B16" s="7">
        <v>46215</v>
      </c>
      <c r="C16" s="6" t="s">
        <v>55</v>
      </c>
      <c r="D16" s="6" t="s">
        <v>44</v>
      </c>
      <c r="E16" s="6" t="s">
        <v>45</v>
      </c>
      <c r="F16" s="6" t="s">
        <v>28</v>
      </c>
      <c r="G16" s="6">
        <v>6</v>
      </c>
      <c r="H16" s="10">
        <v>888.73</v>
      </c>
      <c r="I16" s="10">
        <f t="shared" si="2"/>
        <v>5332.38</v>
      </c>
      <c r="J16" s="9">
        <f t="shared" si="0"/>
        <v>4799.1419999999998</v>
      </c>
      <c r="K16" s="6" t="str">
        <v>ADITYA KAPOOR</v>
      </c>
      <c r="L16" s="6" t="str">
        <f t="shared" si="3"/>
        <v>AD</v>
      </c>
      <c r="M16" s="6" t="str">
        <f t="shared" si="1"/>
        <v>KA</v>
      </c>
      <c r="N16" s="6" t="str">
        <f t="shared" si="4"/>
        <v>ADKA</v>
      </c>
      <c r="O16" s="6" t="str">
        <f t="shared" si="5"/>
        <v>DES-HO</v>
      </c>
      <c r="P16" s="6" t="str">
        <f t="shared" si="6"/>
        <v>Aditya Kapoor</v>
      </c>
      <c r="Q16" s="8">
        <f t="shared" ca="1" si="7"/>
        <v>17</v>
      </c>
      <c r="R16" s="6" t="str">
        <f t="shared" si="8"/>
        <v>Jul</v>
      </c>
      <c r="S16" s="6" t="str">
        <f t="shared" ca="1" si="9"/>
        <v>Recent</v>
      </c>
    </row>
    <row r="17" spans="1:19" x14ac:dyDescent="0.25">
      <c r="A17" s="6" t="s">
        <v>56</v>
      </c>
      <c r="B17" s="7">
        <v>46216</v>
      </c>
      <c r="C17" s="6" t="s">
        <v>57</v>
      </c>
      <c r="D17" s="6" t="s">
        <v>44</v>
      </c>
      <c r="E17" s="6" t="s">
        <v>45</v>
      </c>
      <c r="F17" s="6" t="s">
        <v>28</v>
      </c>
      <c r="G17" s="6">
        <v>2</v>
      </c>
      <c r="H17" s="10">
        <v>908.97</v>
      </c>
      <c r="I17" s="10">
        <f t="shared" si="2"/>
        <v>1817.94</v>
      </c>
      <c r="J17" s="9">
        <f t="shared" si="0"/>
        <v>1636.146</v>
      </c>
      <c r="K17" s="6" t="str">
        <v>PRIYA SHARMA</v>
      </c>
      <c r="L17" s="6" t="str">
        <f t="shared" si="3"/>
        <v>PR</v>
      </c>
      <c r="M17" s="6" t="str">
        <f t="shared" si="1"/>
        <v>SH</v>
      </c>
      <c r="N17" s="6" t="str">
        <f t="shared" si="4"/>
        <v>PRSH</v>
      </c>
      <c r="O17" s="6" t="str">
        <f t="shared" si="5"/>
        <v>DES-HO</v>
      </c>
      <c r="P17" s="6" t="str">
        <f t="shared" si="6"/>
        <v>Priya Sharma</v>
      </c>
      <c r="Q17" s="8">
        <f t="shared" ca="1" si="7"/>
        <v>16</v>
      </c>
      <c r="R17" s="6" t="str">
        <f t="shared" si="8"/>
        <v>Jul</v>
      </c>
      <c r="S17" s="6" t="str">
        <f t="shared" ca="1" si="9"/>
        <v>Recent</v>
      </c>
    </row>
    <row r="18" spans="1:19" x14ac:dyDescent="0.25">
      <c r="A18" s="6" t="s">
        <v>58</v>
      </c>
      <c r="B18" s="7">
        <v>46205</v>
      </c>
      <c r="C18" s="6" t="s">
        <v>59</v>
      </c>
      <c r="D18" s="6" t="s">
        <v>60</v>
      </c>
      <c r="E18" s="6" t="s">
        <v>38</v>
      </c>
      <c r="F18" s="6" t="s">
        <v>41</v>
      </c>
      <c r="G18" s="6">
        <v>6</v>
      </c>
      <c r="H18" s="10">
        <v>583.88</v>
      </c>
      <c r="I18" s="10">
        <f t="shared" si="2"/>
        <v>3503.2799999999997</v>
      </c>
      <c r="J18" s="9">
        <f t="shared" si="0"/>
        <v>3152.9519999999998</v>
      </c>
      <c r="K18" s="6" t="str">
        <v>VIVAAN PATEL</v>
      </c>
      <c r="L18" s="6" t="str">
        <f t="shared" si="3"/>
        <v>VI</v>
      </c>
      <c r="M18" s="6" t="str">
        <f t="shared" si="1"/>
        <v>PA</v>
      </c>
      <c r="N18" s="6" t="str">
        <f t="shared" si="4"/>
        <v>VIPA</v>
      </c>
      <c r="O18" s="6" t="str">
        <f t="shared" si="5"/>
        <v>COT-AP</v>
      </c>
      <c r="P18" s="6" t="str">
        <f t="shared" si="6"/>
        <v>Vivaan Patel</v>
      </c>
      <c r="Q18" s="8">
        <f t="shared" ca="1" si="7"/>
        <v>27</v>
      </c>
      <c r="R18" s="6" t="str">
        <f t="shared" si="8"/>
        <v>Jul</v>
      </c>
      <c r="S18" s="6" t="str">
        <f t="shared" ca="1" si="9"/>
        <v>Recent</v>
      </c>
    </row>
    <row r="19" spans="1:19" x14ac:dyDescent="0.25">
      <c r="A19" s="6" t="s">
        <v>61</v>
      </c>
      <c r="B19" s="7">
        <v>46199</v>
      </c>
      <c r="C19" s="6" t="s">
        <v>62</v>
      </c>
      <c r="D19" s="6" t="s">
        <v>31</v>
      </c>
      <c r="E19" s="6" t="s">
        <v>27</v>
      </c>
      <c r="F19" s="6" t="s">
        <v>23</v>
      </c>
      <c r="G19" s="6">
        <v>4</v>
      </c>
      <c r="H19" s="10">
        <v>150.74</v>
      </c>
      <c r="I19" s="10">
        <f t="shared" si="2"/>
        <v>602.96</v>
      </c>
      <c r="J19" s="9">
        <f t="shared" si="0"/>
        <v>542.66399999999999</v>
      </c>
      <c r="K19" s="6" t="str">
        <v>POOJA VERMA</v>
      </c>
      <c r="L19" s="6" t="str">
        <f t="shared" si="3"/>
        <v>PO</v>
      </c>
      <c r="M19" s="6" t="str">
        <f t="shared" si="1"/>
        <v>VE</v>
      </c>
      <c r="N19" s="6" t="str">
        <f t="shared" si="4"/>
        <v>POVE</v>
      </c>
      <c r="O19" s="6" t="str">
        <f t="shared" si="5"/>
        <v>SKE-ST</v>
      </c>
      <c r="P19" s="6" t="str">
        <f t="shared" si="6"/>
        <v>Pooja Verma</v>
      </c>
      <c r="Q19" s="8">
        <f t="shared" ca="1" si="7"/>
        <v>33</v>
      </c>
      <c r="R19" s="6" t="str">
        <f t="shared" si="8"/>
        <v>Jun</v>
      </c>
      <c r="S19" s="6" t="str">
        <f t="shared" ca="1" si="9"/>
        <v>Old Order</v>
      </c>
    </row>
    <row r="20" spans="1:19" x14ac:dyDescent="0.25">
      <c r="A20" s="6" t="s">
        <v>63</v>
      </c>
      <c r="B20" s="7">
        <v>46182</v>
      </c>
      <c r="C20" s="6" t="s">
        <v>64</v>
      </c>
      <c r="D20" s="6" t="s">
        <v>65</v>
      </c>
      <c r="E20" s="6" t="s">
        <v>16</v>
      </c>
      <c r="F20" s="6" t="s">
        <v>23</v>
      </c>
      <c r="G20" s="6">
        <v>3</v>
      </c>
      <c r="H20" s="10">
        <v>304.45999999999998</v>
      </c>
      <c r="I20" s="10">
        <f t="shared" si="2"/>
        <v>913.37999999999988</v>
      </c>
      <c r="J20" s="9">
        <f t="shared" si="0"/>
        <v>822.04199999999992</v>
      </c>
      <c r="K20" s="6" t="str">
        <v>NEHA JOSHI</v>
      </c>
      <c r="L20" s="6" t="str">
        <f t="shared" si="3"/>
        <v>NE</v>
      </c>
      <c r="M20" s="6" t="str">
        <f t="shared" si="1"/>
        <v>JO</v>
      </c>
      <c r="N20" s="6" t="str">
        <f t="shared" si="4"/>
        <v>NEJO</v>
      </c>
      <c r="O20" s="6" t="str">
        <f t="shared" si="5"/>
        <v>LIP-BE</v>
      </c>
      <c r="P20" s="6" t="str">
        <f t="shared" si="6"/>
        <v>Neha Joshi</v>
      </c>
      <c r="Q20" s="8">
        <f t="shared" ca="1" si="7"/>
        <v>50</v>
      </c>
      <c r="R20" s="6" t="str">
        <f t="shared" si="8"/>
        <v>Jun</v>
      </c>
      <c r="S20" s="6" t="str">
        <f t="shared" ca="1" si="9"/>
        <v>Old Order</v>
      </c>
    </row>
    <row r="21" spans="1:19" x14ac:dyDescent="0.25">
      <c r="A21" s="6" t="s">
        <v>66</v>
      </c>
      <c r="B21" s="7">
        <v>46198</v>
      </c>
      <c r="C21" s="6" t="s">
        <v>67</v>
      </c>
      <c r="D21" s="6" t="s">
        <v>34</v>
      </c>
      <c r="E21" s="6" t="s">
        <v>11</v>
      </c>
      <c r="F21" s="6" t="s">
        <v>41</v>
      </c>
      <c r="G21" s="6">
        <v>2</v>
      </c>
      <c r="H21" s="10">
        <v>1458.82</v>
      </c>
      <c r="I21" s="10">
        <f t="shared" si="2"/>
        <v>2917.64</v>
      </c>
      <c r="J21" s="9">
        <f t="shared" si="0"/>
        <v>2625.8759999999997</v>
      </c>
      <c r="K21" s="6" t="str">
        <v>ROHAN IYER</v>
      </c>
      <c r="L21" s="6" t="str">
        <f t="shared" si="3"/>
        <v>RO</v>
      </c>
      <c r="M21" s="6" t="str">
        <f t="shared" si="1"/>
        <v>IY</v>
      </c>
      <c r="N21" s="6" t="str">
        <f t="shared" si="4"/>
        <v>ROIY</v>
      </c>
      <c r="O21" s="6" t="str">
        <f t="shared" si="5"/>
        <v>BLU-EL</v>
      </c>
      <c r="P21" s="6" t="str">
        <f t="shared" si="6"/>
        <v>Rohan Iyer</v>
      </c>
      <c r="Q21" s="8">
        <f t="shared" ca="1" si="7"/>
        <v>34</v>
      </c>
      <c r="R21" s="6" t="str">
        <f t="shared" si="8"/>
        <v>Jun</v>
      </c>
      <c r="S21" s="6" t="str">
        <f t="shared" ca="1" si="9"/>
        <v>Old Order</v>
      </c>
    </row>
    <row r="22" spans="1:19" x14ac:dyDescent="0.25">
      <c r="A22" s="6" t="s">
        <v>68</v>
      </c>
      <c r="B22" s="7">
        <v>46188</v>
      </c>
      <c r="C22" s="6" t="s">
        <v>69</v>
      </c>
      <c r="D22" s="6" t="s">
        <v>31</v>
      </c>
      <c r="E22" s="6" t="s">
        <v>27</v>
      </c>
      <c r="F22" s="6" t="s">
        <v>28</v>
      </c>
      <c r="G22" s="6">
        <v>3</v>
      </c>
      <c r="H22" s="10">
        <v>142.56</v>
      </c>
      <c r="I22" s="10">
        <f t="shared" si="2"/>
        <v>427.68</v>
      </c>
      <c r="J22" s="9">
        <f t="shared" si="0"/>
        <v>384.91200000000003</v>
      </c>
      <c r="K22" s="6" t="str">
        <v>AARAV DAS</v>
      </c>
      <c r="L22" s="6" t="str">
        <f t="shared" si="3"/>
        <v>AA</v>
      </c>
      <c r="M22" s="6" t="str">
        <f t="shared" si="1"/>
        <v>DA</v>
      </c>
      <c r="N22" s="6" t="str">
        <f t="shared" si="4"/>
        <v>AADA</v>
      </c>
      <c r="O22" s="6" t="str">
        <f t="shared" si="5"/>
        <v>SKE-ST</v>
      </c>
      <c r="P22" s="6" t="str">
        <f t="shared" si="6"/>
        <v>Aarav Das</v>
      </c>
      <c r="Q22" s="8">
        <f t="shared" ca="1" si="7"/>
        <v>44</v>
      </c>
      <c r="R22" s="6" t="str">
        <f t="shared" si="8"/>
        <v>Jun</v>
      </c>
      <c r="S22" s="6" t="str">
        <f t="shared" ca="1" si="9"/>
        <v>Old Order</v>
      </c>
    </row>
    <row r="23" spans="1:19" x14ac:dyDescent="0.25">
      <c r="A23" s="6" t="s">
        <v>70</v>
      </c>
      <c r="B23" s="7">
        <v>46200</v>
      </c>
      <c r="C23" s="6" t="s">
        <v>71</v>
      </c>
      <c r="D23" s="6" t="s">
        <v>37</v>
      </c>
      <c r="E23" s="6" t="s">
        <v>38</v>
      </c>
      <c r="F23" s="6" t="s">
        <v>41</v>
      </c>
      <c r="G23" s="6">
        <v>6</v>
      </c>
      <c r="H23" s="10">
        <v>1345.66</v>
      </c>
      <c r="I23" s="10">
        <f t="shared" si="2"/>
        <v>8073.9600000000009</v>
      </c>
      <c r="J23" s="9">
        <f t="shared" si="0"/>
        <v>7266.5640000000003</v>
      </c>
      <c r="K23" s="6" t="str">
        <v>KAVYA NAIR</v>
      </c>
      <c r="L23" s="6" t="str">
        <f t="shared" si="3"/>
        <v>KA</v>
      </c>
      <c r="M23" s="6" t="str">
        <f t="shared" si="1"/>
        <v>NA</v>
      </c>
      <c r="N23" s="6" t="str">
        <f t="shared" si="4"/>
        <v>KANA</v>
      </c>
      <c r="O23" s="6" t="str">
        <f t="shared" si="5"/>
        <v>DEN-AP</v>
      </c>
      <c r="P23" s="6" t="str">
        <f t="shared" si="6"/>
        <v>Kavya Nair</v>
      </c>
      <c r="Q23" s="8">
        <f t="shared" ca="1" si="7"/>
        <v>32</v>
      </c>
      <c r="R23" s="6" t="str">
        <f t="shared" si="8"/>
        <v>Jun</v>
      </c>
      <c r="S23" s="6" t="str">
        <f t="shared" ca="1" si="9"/>
        <v>Old Order</v>
      </c>
    </row>
    <row r="24" spans="1:19" x14ac:dyDescent="0.25">
      <c r="A24" s="6" t="s">
        <v>72</v>
      </c>
      <c r="B24" s="7">
        <v>46213</v>
      </c>
      <c r="C24" s="6" t="s">
        <v>22</v>
      </c>
      <c r="D24" s="6" t="s">
        <v>10</v>
      </c>
      <c r="E24" s="6" t="s">
        <v>11</v>
      </c>
      <c r="F24" s="6" t="s">
        <v>23</v>
      </c>
      <c r="G24" s="6">
        <v>6</v>
      </c>
      <c r="H24" s="10">
        <v>153.44</v>
      </c>
      <c r="I24" s="10">
        <f t="shared" si="2"/>
        <v>920.64</v>
      </c>
      <c r="J24" s="9">
        <f t="shared" si="0"/>
        <v>828.57600000000002</v>
      </c>
      <c r="K24" s="6" t="str">
        <v>MANAV KAPOOR</v>
      </c>
      <c r="L24" s="6" t="str">
        <f t="shared" si="3"/>
        <v>MA</v>
      </c>
      <c r="M24" s="6" t="str">
        <f t="shared" si="1"/>
        <v>KA</v>
      </c>
      <c r="N24" s="6" t="str">
        <f t="shared" si="4"/>
        <v>MAKA</v>
      </c>
      <c r="O24" s="6" t="str">
        <f t="shared" si="5"/>
        <v>USB-EL</v>
      </c>
      <c r="P24" s="6" t="str">
        <f t="shared" si="6"/>
        <v>Manav Kapoor</v>
      </c>
      <c r="Q24" s="8">
        <f t="shared" ca="1" si="7"/>
        <v>19</v>
      </c>
      <c r="R24" s="6" t="str">
        <f t="shared" si="8"/>
        <v>Jul</v>
      </c>
      <c r="S24" s="6" t="str">
        <f t="shared" ca="1" si="9"/>
        <v>Recent</v>
      </c>
    </row>
    <row r="25" spans="1:19" x14ac:dyDescent="0.25">
      <c r="A25" s="6" t="s">
        <v>73</v>
      </c>
      <c r="B25" s="7">
        <v>46199</v>
      </c>
      <c r="C25" s="6" t="s">
        <v>74</v>
      </c>
      <c r="D25" s="6" t="s">
        <v>75</v>
      </c>
      <c r="E25" s="6" t="s">
        <v>20</v>
      </c>
      <c r="F25" s="6" t="s">
        <v>12</v>
      </c>
      <c r="G25" s="6">
        <v>4</v>
      </c>
      <c r="H25" s="10">
        <v>1519.13</v>
      </c>
      <c r="I25" s="10">
        <f t="shared" si="2"/>
        <v>6076.52</v>
      </c>
      <c r="J25" s="9">
        <f t="shared" si="0"/>
        <v>5468.8680000000004</v>
      </c>
      <c r="K25" s="6" t="str">
        <v>ARJUN GUPTA</v>
      </c>
      <c r="L25" s="6" t="str">
        <f t="shared" si="3"/>
        <v>AR</v>
      </c>
      <c r="M25" s="6" t="str">
        <f t="shared" si="1"/>
        <v>GU</v>
      </c>
      <c r="N25" s="6" t="str">
        <f t="shared" si="4"/>
        <v>ARGU</v>
      </c>
      <c r="O25" s="6" t="str">
        <f t="shared" si="5"/>
        <v>CRI-SP</v>
      </c>
      <c r="P25" s="6" t="str">
        <f t="shared" si="6"/>
        <v>Arjun Gupta</v>
      </c>
      <c r="Q25" s="8">
        <f t="shared" ca="1" si="7"/>
        <v>33</v>
      </c>
      <c r="R25" s="6" t="str">
        <f t="shared" si="8"/>
        <v>Jun</v>
      </c>
      <c r="S25" s="6" t="str">
        <f t="shared" ca="1" si="9"/>
        <v>Old Order</v>
      </c>
    </row>
    <row r="26" spans="1:19" x14ac:dyDescent="0.25">
      <c r="A26" s="6" t="s">
        <v>76</v>
      </c>
      <c r="B26" s="7">
        <v>46177</v>
      </c>
      <c r="C26" s="6" t="s">
        <v>77</v>
      </c>
      <c r="D26" s="6" t="s">
        <v>15</v>
      </c>
      <c r="E26" s="6" t="s">
        <v>16</v>
      </c>
      <c r="F26" s="6" t="s">
        <v>23</v>
      </c>
      <c r="G26" s="6">
        <v>2</v>
      </c>
      <c r="H26" s="10">
        <v>191.24</v>
      </c>
      <c r="I26" s="10">
        <f t="shared" si="2"/>
        <v>382.48</v>
      </c>
      <c r="J26" s="9">
        <f t="shared" si="0"/>
        <v>344.23200000000003</v>
      </c>
      <c r="K26" s="6" t="str">
        <v>MEERA VERMA</v>
      </c>
      <c r="L26" s="6" t="str">
        <f t="shared" si="3"/>
        <v>ME</v>
      </c>
      <c r="M26" s="6" t="str">
        <f t="shared" si="1"/>
        <v>VE</v>
      </c>
      <c r="N26" s="6" t="str">
        <f t="shared" si="4"/>
        <v>MEVE</v>
      </c>
      <c r="O26" s="6" t="str">
        <f t="shared" si="5"/>
        <v>FAC-BE</v>
      </c>
      <c r="P26" s="6" t="str">
        <f t="shared" si="6"/>
        <v>Meera Verma</v>
      </c>
      <c r="Q26" s="8">
        <f t="shared" ca="1" si="7"/>
        <v>55</v>
      </c>
      <c r="R26" s="6" t="str">
        <f t="shared" si="8"/>
        <v>Jun</v>
      </c>
      <c r="S26" s="6" t="str">
        <f t="shared" ca="1" si="9"/>
        <v>Old Order</v>
      </c>
    </row>
    <row r="27" spans="1:19" x14ac:dyDescent="0.25">
      <c r="A27" s="6" t="s">
        <v>78</v>
      </c>
      <c r="B27" s="7">
        <v>46212</v>
      </c>
      <c r="C27" s="6" t="s">
        <v>79</v>
      </c>
      <c r="D27" s="6" t="s">
        <v>80</v>
      </c>
      <c r="E27" s="6" t="s">
        <v>11</v>
      </c>
      <c r="F27" s="6" t="s">
        <v>41</v>
      </c>
      <c r="G27" s="6">
        <v>5</v>
      </c>
      <c r="H27" s="10">
        <v>479.11</v>
      </c>
      <c r="I27" s="10">
        <f t="shared" si="2"/>
        <v>2395.5500000000002</v>
      </c>
      <c r="J27" s="9">
        <f t="shared" si="0"/>
        <v>2155.9950000000003</v>
      </c>
      <c r="K27" s="6" t="str">
        <v>VIVAAN VERMA</v>
      </c>
      <c r="L27" s="6" t="str">
        <f t="shared" si="3"/>
        <v>VI</v>
      </c>
      <c r="M27" s="6" t="str">
        <f t="shared" si="1"/>
        <v>VE</v>
      </c>
      <c r="N27" s="6" t="str">
        <f t="shared" si="4"/>
        <v>VIVE</v>
      </c>
      <c r="O27" s="6" t="str">
        <f t="shared" si="5"/>
        <v>WIR-EL</v>
      </c>
      <c r="P27" s="6" t="str">
        <f t="shared" si="6"/>
        <v>Vivaan Verma</v>
      </c>
      <c r="Q27" s="8">
        <f t="shared" ca="1" si="7"/>
        <v>20</v>
      </c>
      <c r="R27" s="6" t="str">
        <f t="shared" si="8"/>
        <v>Jul</v>
      </c>
      <c r="S27" s="6" t="str">
        <f t="shared" ca="1" si="9"/>
        <v>Recent</v>
      </c>
    </row>
    <row r="28" spans="1:19" x14ac:dyDescent="0.25">
      <c r="A28" s="6" t="s">
        <v>81</v>
      </c>
      <c r="B28" s="7">
        <v>46197</v>
      </c>
      <c r="C28" s="6" t="s">
        <v>82</v>
      </c>
      <c r="D28" s="6" t="s">
        <v>34</v>
      </c>
      <c r="E28" s="6" t="s">
        <v>11</v>
      </c>
      <c r="F28" s="6" t="s">
        <v>41</v>
      </c>
      <c r="G28" s="6">
        <v>5</v>
      </c>
      <c r="H28" s="10">
        <v>1480.45</v>
      </c>
      <c r="I28" s="10">
        <f t="shared" si="2"/>
        <v>7402.25</v>
      </c>
      <c r="J28" s="9">
        <f t="shared" si="0"/>
        <v>6662.0249999999996</v>
      </c>
      <c r="K28" s="6" t="str">
        <v>RIYA SHARMA</v>
      </c>
      <c r="L28" s="6" t="str">
        <f t="shared" si="3"/>
        <v>RI</v>
      </c>
      <c r="M28" s="6" t="str">
        <f t="shared" si="1"/>
        <v>SH</v>
      </c>
      <c r="N28" s="6" t="str">
        <f t="shared" si="4"/>
        <v>RISH</v>
      </c>
      <c r="O28" s="6" t="str">
        <f t="shared" si="5"/>
        <v>BLU-EL</v>
      </c>
      <c r="P28" s="6" t="str">
        <f t="shared" si="6"/>
        <v>Riya Sharma</v>
      </c>
      <c r="Q28" s="8">
        <f t="shared" ca="1" si="7"/>
        <v>35</v>
      </c>
      <c r="R28" s="6" t="str">
        <f t="shared" si="8"/>
        <v>Jun</v>
      </c>
      <c r="S28" s="6" t="str">
        <f t="shared" ca="1" si="9"/>
        <v>Old Order</v>
      </c>
    </row>
    <row r="29" spans="1:19" x14ac:dyDescent="0.25">
      <c r="A29" s="6" t="s">
        <v>83</v>
      </c>
      <c r="B29" s="7">
        <v>46214</v>
      </c>
      <c r="C29" s="6" t="s">
        <v>84</v>
      </c>
      <c r="D29" s="6" t="s">
        <v>85</v>
      </c>
      <c r="E29" s="6" t="s">
        <v>20</v>
      </c>
      <c r="F29" s="6" t="s">
        <v>23</v>
      </c>
      <c r="G29" s="6">
        <v>1</v>
      </c>
      <c r="H29" s="10">
        <v>1922.11</v>
      </c>
      <c r="I29" s="10">
        <f t="shared" si="2"/>
        <v>1922.11</v>
      </c>
      <c r="J29" s="9">
        <f t="shared" si="0"/>
        <v>1729.8989999999999</v>
      </c>
      <c r="K29" s="6" t="str">
        <v>SNEHA NAIR</v>
      </c>
      <c r="L29" s="6" t="str">
        <f t="shared" si="3"/>
        <v>SN</v>
      </c>
      <c r="M29" s="6" t="str">
        <f t="shared" si="1"/>
        <v>NA</v>
      </c>
      <c r="N29" s="6" t="str">
        <f t="shared" si="4"/>
        <v>SNNA</v>
      </c>
      <c r="O29" s="6" t="str">
        <f t="shared" si="5"/>
        <v>RUN-SP</v>
      </c>
      <c r="P29" s="6" t="str">
        <f t="shared" si="6"/>
        <v>Sneha Nair</v>
      </c>
      <c r="Q29" s="8">
        <f t="shared" ca="1" si="7"/>
        <v>18</v>
      </c>
      <c r="R29" s="6" t="str">
        <f t="shared" si="8"/>
        <v>Jul</v>
      </c>
      <c r="S29" s="6" t="str">
        <f t="shared" ca="1" si="9"/>
        <v>Recent</v>
      </c>
    </row>
    <row r="30" spans="1:19" x14ac:dyDescent="0.25">
      <c r="A30" s="6" t="s">
        <v>86</v>
      </c>
      <c r="B30" s="7">
        <v>46205</v>
      </c>
      <c r="C30" s="6" t="s">
        <v>87</v>
      </c>
      <c r="D30" s="6" t="s">
        <v>88</v>
      </c>
      <c r="E30" s="6" t="s">
        <v>45</v>
      </c>
      <c r="F30" s="6" t="s">
        <v>28</v>
      </c>
      <c r="G30" s="6">
        <v>1</v>
      </c>
      <c r="H30" s="10">
        <v>1156.33</v>
      </c>
      <c r="I30" s="10">
        <f t="shared" si="2"/>
        <v>1156.33</v>
      </c>
      <c r="J30" s="9">
        <f t="shared" si="0"/>
        <v>1040.6969999999999</v>
      </c>
      <c r="K30" s="6" t="str">
        <v>RAHUL DAS</v>
      </c>
      <c r="L30" s="6" t="str">
        <f t="shared" si="3"/>
        <v>RA</v>
      </c>
      <c r="M30" s="6" t="str">
        <f t="shared" si="1"/>
        <v>DA</v>
      </c>
      <c r="N30" s="6" t="str">
        <f t="shared" si="4"/>
        <v>RADA</v>
      </c>
      <c r="O30" s="6" t="str">
        <f t="shared" si="5"/>
        <v>NON-HO</v>
      </c>
      <c r="P30" s="6" t="str">
        <f t="shared" si="6"/>
        <v>Rahul Das</v>
      </c>
      <c r="Q30" s="8">
        <f t="shared" ca="1" si="7"/>
        <v>27</v>
      </c>
      <c r="R30" s="6" t="str">
        <f t="shared" si="8"/>
        <v>Jul</v>
      </c>
      <c r="S30" s="6" t="str">
        <f t="shared" ca="1" si="9"/>
        <v>Recent</v>
      </c>
    </row>
    <row r="31" spans="1:19" x14ac:dyDescent="0.25">
      <c r="A31" s="6" t="s">
        <v>89</v>
      </c>
      <c r="B31" s="7">
        <v>46221</v>
      </c>
      <c r="C31" s="6" t="s">
        <v>90</v>
      </c>
      <c r="D31" s="6" t="s">
        <v>65</v>
      </c>
      <c r="E31" s="6" t="s">
        <v>16</v>
      </c>
      <c r="F31" s="6" t="s">
        <v>23</v>
      </c>
      <c r="G31" s="6">
        <v>6</v>
      </c>
      <c r="H31" s="10">
        <v>288.88</v>
      </c>
      <c r="I31" s="10">
        <f t="shared" si="2"/>
        <v>1733.28</v>
      </c>
      <c r="J31" s="9">
        <f t="shared" si="0"/>
        <v>1559.952</v>
      </c>
      <c r="K31" s="6" t="str">
        <v>KARAN BHATT</v>
      </c>
      <c r="L31" s="6" t="str">
        <f t="shared" si="3"/>
        <v>KA</v>
      </c>
      <c r="M31" s="6" t="str">
        <f t="shared" si="1"/>
        <v>BH</v>
      </c>
      <c r="N31" s="6" t="str">
        <f t="shared" si="4"/>
        <v>KABH</v>
      </c>
      <c r="O31" s="6" t="str">
        <f t="shared" si="5"/>
        <v>LIP-BE</v>
      </c>
      <c r="P31" s="6" t="str">
        <f t="shared" si="6"/>
        <v>Karan Bhatt</v>
      </c>
      <c r="Q31" s="8">
        <f t="shared" ca="1" si="7"/>
        <v>11</v>
      </c>
      <c r="R31" s="6" t="str">
        <f t="shared" si="8"/>
        <v>Jul</v>
      </c>
      <c r="S31" s="6" t="str">
        <f t="shared" ca="1" si="9"/>
        <v>Recent</v>
      </c>
    </row>
    <row r="44" spans="1:2" x14ac:dyDescent="0.25">
      <c r="A44" s="1" t="s">
        <v>94</v>
      </c>
      <c r="B44" s="1"/>
    </row>
    <row r="45" spans="1:2" x14ac:dyDescent="0.25">
      <c r="A45" s="1" t="s">
        <v>92</v>
      </c>
      <c r="B45" s="2">
        <v>0.1</v>
      </c>
    </row>
    <row r="46" spans="1:2" x14ac:dyDescent="0.25">
      <c r="A46" s="3" t="s">
        <v>107</v>
      </c>
      <c r="B46" s="5">
        <f ca="1">TODAY()</f>
        <v>46232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26.140625" bestFit="1" customWidth="1"/>
    <col min="2" max="2" width="15.5703125" bestFit="1" customWidth="1"/>
    <col min="3" max="3" width="17" bestFit="1" customWidth="1"/>
    <col min="4" max="4" width="19.140625" bestFit="1" customWidth="1"/>
    <col min="5" max="6" width="18.7109375" bestFit="1" customWidth="1"/>
  </cols>
  <sheetData>
    <row r="1" spans="1:5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 x14ac:dyDescent="0.25">
      <c r="A2" s="11">
        <f>SUM(sales_data!J2:J31)</f>
        <v>76528.413</v>
      </c>
      <c r="B2" s="11">
        <f>AVERAGE(sales_data!J2:J31)</f>
        <v>2550.9470999999999</v>
      </c>
      <c r="C2" s="8">
        <f>COUNT(sales_data!J2:J31)</f>
        <v>30</v>
      </c>
      <c r="D2" s="11">
        <f>MAX(sales_data!J2:J31)</f>
        <v>8257.68</v>
      </c>
      <c r="E2" s="11">
        <f>MIN(sales_data!J2:J31)</f>
        <v>136.00800000000001</v>
      </c>
    </row>
    <row r="9" spans="1:5" x14ac:dyDescent="0.25">
      <c r="A9" s="3"/>
      <c r="B9" s="4" t="s">
        <v>114</v>
      </c>
      <c r="C9" s="4" t="s">
        <v>115</v>
      </c>
    </row>
    <row r="10" spans="1:5" x14ac:dyDescent="0.25">
      <c r="A10" s="4" t="s">
        <v>110</v>
      </c>
      <c r="B10" s="12">
        <f>SUMIF(sales_data!F2:F31, A10, sales_data!J2:J31)</f>
        <v>25646.922000000006</v>
      </c>
      <c r="C10" s="3">
        <f>COUNTIF(sales_data!F2:F31, SUMMARY!A10)</f>
        <v>8</v>
      </c>
    </row>
    <row r="11" spans="1:5" x14ac:dyDescent="0.25">
      <c r="A11" s="4" t="s">
        <v>111</v>
      </c>
      <c r="B11" s="12">
        <f>SUMIF(sales_data!F3:F32, A11, sales_data!J3:J32)</f>
        <v>21999.42</v>
      </c>
      <c r="C11" s="3">
        <f>COUNTIF(sales_data!F3:F32, SUMMARY!A11)</f>
        <v>6</v>
      </c>
    </row>
    <row r="12" spans="1:5" x14ac:dyDescent="0.25">
      <c r="A12" s="4" t="s">
        <v>112</v>
      </c>
      <c r="B12" s="12">
        <f>SUMIF(sales_data!F4:F33, A12, sales_data!J4:J33)</f>
        <v>16821.170999999998</v>
      </c>
      <c r="C12" s="3">
        <f>COUNTIF(sales_data!F4:F33, SUMMARY!A12)</f>
        <v>8</v>
      </c>
    </row>
    <row r="13" spans="1:5" x14ac:dyDescent="0.25">
      <c r="A13" s="4" t="s">
        <v>113</v>
      </c>
      <c r="B13" s="12">
        <f>SUMIF(sales_data!F5:F34, A13, sales_data!J5:J34)</f>
        <v>12060.899999999998</v>
      </c>
      <c r="C13" s="3">
        <f>COUNTIF(sales_data!F5:F34, SUMMARY!A13)</f>
        <v>8</v>
      </c>
    </row>
    <row r="15" spans="1:5" x14ac:dyDescent="0.25">
      <c r="A15" s="13" t="s">
        <v>116</v>
      </c>
      <c r="B15" s="14"/>
    </row>
  </sheetData>
  <mergeCells count="1">
    <mergeCell ref="A15:B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B0DD2449FB44F8BC63B17280CFB1D" ma:contentTypeVersion="4" ma:contentTypeDescription="Create a new document." ma:contentTypeScope="" ma:versionID="6b0b8abcb72ff9a3a596902fcc51e3f1">
  <xsd:schema xmlns:xsd="http://www.w3.org/2001/XMLSchema" xmlns:xs="http://www.w3.org/2001/XMLSchema" xmlns:p="http://schemas.microsoft.com/office/2006/metadata/properties" xmlns:ns2="29599806-2f79-4813-af4b-0c7d94b1b247" targetNamespace="http://schemas.microsoft.com/office/2006/metadata/properties" ma:root="true" ma:fieldsID="cf88689ee7e8f5c99f66913663dbf248" ns2:_="">
    <xsd:import namespace="29599806-2f79-4813-af4b-0c7d94b1b24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99806-2f79-4813-af4b-0c7d94b1b2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9599806-2f79-4813-af4b-0c7d94b1b247" xsi:nil="true"/>
  </documentManagement>
</p:properties>
</file>

<file path=customXml/itemProps1.xml><?xml version="1.0" encoding="utf-8"?>
<ds:datastoreItem xmlns:ds="http://schemas.openxmlformats.org/officeDocument/2006/customXml" ds:itemID="{CC21BA4D-7EB8-46BA-8811-0D0414CF4A76}"/>
</file>

<file path=customXml/itemProps2.xml><?xml version="1.0" encoding="utf-8"?>
<ds:datastoreItem xmlns:ds="http://schemas.openxmlformats.org/officeDocument/2006/customXml" ds:itemID="{46E17CB7-0AA6-4EB1-959E-331AD8BF1FA2}"/>
</file>

<file path=customXml/itemProps3.xml><?xml version="1.0" encoding="utf-8"?>
<ds:datastoreItem xmlns:ds="http://schemas.openxmlformats.org/officeDocument/2006/customXml" ds:itemID="{04CCFE67-39B6-4134-9CE1-A418F56F5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Mpstme Student</dc:creator>
  <cp:lastModifiedBy>Mpstme Student</cp:lastModifiedBy>
  <dcterms:created xsi:type="dcterms:W3CDTF">2026-07-29T05:14:26Z</dcterms:created>
  <dcterms:modified xsi:type="dcterms:W3CDTF">2026-07-29T07:26:35Z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0x010100893B0DD2449FB44F8BC63B17280CFB1D</vt:lpwstr>
  </property>
</Properties>
</file>