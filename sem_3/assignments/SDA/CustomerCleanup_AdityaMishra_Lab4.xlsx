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Nextcloud2\uni\SEM 3\assingments\SDA\"/>
    </mc:Choice>
  </mc:AlternateContent>
  <xr:revisionPtr revIDLastSave="0" documentId="8_{0FEB4CEF-CD43-4E46-8365-60DE62EF1111}" xr6:coauthVersionLast="47" xr6:coauthVersionMax="47" xr10:uidLastSave="{00000000-0000-0000-0000-000000000000}"/>
  <bookViews>
    <workbookView xWindow="-120" yWindow="-120" windowWidth="29040" windowHeight="15720" xr2:uid="{D489EF1D-026A-4C7C-BEA4-A1F5B9DC3F89}"/>
  </bookViews>
  <sheets>
    <sheet name="customer_data" sheetId="2" r:id="rId1"/>
    <sheet name="summary" sheetId="3" r:id="rId2"/>
    <sheet name="state_summary" sheetId="4" r:id="rId3"/>
  </sheets>
  <definedNames>
    <definedName name="_xlnm._FilterDatabase" localSheetId="0" hidden="1">customer_data!$A$1:$N$36</definedName>
  </definedNames>
  <calcPr calcId="0"/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2" i="4"/>
  <c r="B3" i="4"/>
  <c r="B4" i="4"/>
  <c r="B5" i="4"/>
  <c r="B6" i="4"/>
  <c r="B7" i="4"/>
  <c r="B8" i="4"/>
  <c r="B9" i="4"/>
  <c r="B2" i="4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2" i="2"/>
  <c r="P2" i="2" a="1"/>
  <c r="P2" i="2" s="1"/>
  <c r="E14" i="3"/>
  <c r="E13" i="3"/>
  <c r="E12" i="3"/>
  <c r="E11" i="3"/>
  <c r="E10" i="3"/>
  <c r="E8" i="3"/>
  <c r="E9" i="3" s="1"/>
  <c r="M21" i="2"/>
  <c r="L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2" i="2"/>
  <c r="D44" i="2"/>
  <c r="D43" i="2"/>
  <c r="J16" i="2"/>
  <c r="L16" i="2" s="1"/>
  <c r="K16" i="2"/>
  <c r="M16" i="2" s="1"/>
  <c r="J11" i="2"/>
  <c r="L36" i="2" s="1"/>
  <c r="K11" i="2"/>
  <c r="M11" i="2" s="1"/>
  <c r="J12" i="2"/>
  <c r="L12" i="2" s="1"/>
  <c r="K12" i="2"/>
  <c r="M12" i="2" s="1"/>
  <c r="J13" i="2"/>
  <c r="K13" i="2"/>
  <c r="K2" i="2"/>
  <c r="M27" i="2" s="1"/>
  <c r="K3" i="2"/>
  <c r="M3" i="2" s="1"/>
  <c r="K4" i="2"/>
  <c r="M4" i="2" s="1"/>
  <c r="K5" i="2"/>
  <c r="K6" i="2"/>
  <c r="K7" i="2"/>
  <c r="K8" i="2"/>
  <c r="M8" i="2" s="1"/>
  <c r="K9" i="2"/>
  <c r="M9" i="2" s="1"/>
  <c r="K10" i="2"/>
  <c r="K14" i="2"/>
  <c r="M14" i="2" s="1"/>
  <c r="K15" i="2"/>
  <c r="M15" i="2" s="1"/>
  <c r="K17" i="2"/>
  <c r="M17" i="2" s="1"/>
  <c r="K18" i="2"/>
  <c r="M18" i="2" s="1"/>
  <c r="K19" i="2"/>
  <c r="K20" i="2"/>
  <c r="M20" i="2" s="1"/>
  <c r="K21" i="2"/>
  <c r="K22" i="2"/>
  <c r="M22" i="2" s="1"/>
  <c r="K23" i="2"/>
  <c r="M23" i="2" s="1"/>
  <c r="K24" i="2"/>
  <c r="M24" i="2" s="1"/>
  <c r="K25" i="2"/>
  <c r="M25" i="2" s="1"/>
  <c r="K26" i="2"/>
  <c r="K27" i="2"/>
  <c r="K28" i="2"/>
  <c r="M28" i="2" s="1"/>
  <c r="K29" i="2"/>
  <c r="K30" i="2"/>
  <c r="M30" i="2" s="1"/>
  <c r="K31" i="2"/>
  <c r="M31" i="2" s="1"/>
  <c r="K32" i="2"/>
  <c r="M32" i="2" s="1"/>
  <c r="K33" i="2"/>
  <c r="M33" i="2" s="1"/>
  <c r="K34" i="2"/>
  <c r="M34" i="2" s="1"/>
  <c r="K35" i="2"/>
  <c r="K36" i="2"/>
  <c r="M36" i="2" s="1"/>
  <c r="J2" i="2"/>
  <c r="J3" i="2"/>
  <c r="J4" i="2"/>
  <c r="J5" i="2"/>
  <c r="J6" i="2"/>
  <c r="J7" i="2"/>
  <c r="J8" i="2"/>
  <c r="J9" i="2"/>
  <c r="J10" i="2"/>
  <c r="J14" i="2"/>
  <c r="J15" i="2"/>
  <c r="J17" i="2"/>
  <c r="J18" i="2"/>
  <c r="J19" i="2"/>
  <c r="J20" i="2"/>
  <c r="J21" i="2"/>
  <c r="J22" i="2"/>
  <c r="J23" i="2"/>
  <c r="J24" i="2"/>
  <c r="J25" i="2"/>
  <c r="L25" i="2" s="1"/>
  <c r="J26" i="2"/>
  <c r="J27" i="2"/>
  <c r="J28" i="2"/>
  <c r="J29" i="2"/>
  <c r="J30" i="2"/>
  <c r="J31" i="2"/>
  <c r="L31" i="2" s="1"/>
  <c r="J32" i="2"/>
  <c r="J33" i="2"/>
  <c r="J34" i="2"/>
  <c r="J35" i="2"/>
  <c r="J36" i="2"/>
  <c r="L21" i="2" l="1"/>
  <c r="L29" i="2"/>
  <c r="M13" i="2"/>
  <c r="L22" i="2"/>
  <c r="L32" i="2"/>
  <c r="L6" i="2"/>
  <c r="L23" i="2"/>
  <c r="M7" i="2"/>
  <c r="L8" i="2"/>
  <c r="L24" i="2"/>
  <c r="M29" i="2"/>
  <c r="L14" i="2"/>
  <c r="L15" i="2"/>
  <c r="N15" i="2" s="1"/>
  <c r="L33" i="2"/>
  <c r="L13" i="2"/>
  <c r="M5" i="2"/>
  <c r="L30" i="2"/>
  <c r="M6" i="2"/>
  <c r="L7" i="2"/>
  <c r="L9" i="2"/>
  <c r="L17" i="2"/>
  <c r="L2" i="2"/>
  <c r="L10" i="2"/>
  <c r="L18" i="2"/>
  <c r="L26" i="2"/>
  <c r="L34" i="2"/>
  <c r="M26" i="2"/>
  <c r="L35" i="2"/>
  <c r="M2" i="2"/>
  <c r="M35" i="2"/>
  <c r="M10" i="2"/>
  <c r="L19" i="2"/>
  <c r="L4" i="2"/>
  <c r="L28" i="2"/>
  <c r="L3" i="2"/>
  <c r="L11" i="2"/>
  <c r="L27" i="2"/>
  <c r="M19" i="2"/>
  <c r="L20" i="2"/>
  <c r="N12" i="2"/>
  <c r="D42" i="2"/>
  <c r="N16" i="2"/>
  <c r="N11" i="2"/>
  <c r="N13" i="2" l="1"/>
  <c r="N22" i="2"/>
  <c r="N7" i="2"/>
  <c r="N21" i="2"/>
  <c r="N25" i="2"/>
  <c r="N35" i="2"/>
  <c r="N30" i="2"/>
  <c r="N19" i="2"/>
  <c r="N8" i="2"/>
  <c r="N32" i="2"/>
  <c r="N2" i="2"/>
  <c r="N34" i="2"/>
  <c r="N17" i="2"/>
  <c r="N18" i="2"/>
  <c r="N33" i="2"/>
  <c r="N20" i="2"/>
  <c r="N6" i="2"/>
  <c r="N9" i="2"/>
  <c r="N36" i="2"/>
  <c r="N3" i="2"/>
  <c r="N29" i="2"/>
  <c r="N24" i="2"/>
  <c r="N4" i="2"/>
  <c r="N27" i="2"/>
  <c r="N26" i="2"/>
  <c r="N23" i="2"/>
  <c r="N10" i="2"/>
  <c r="N5" i="2"/>
  <c r="N14" i="2"/>
  <c r="N31" i="2"/>
  <c r="N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2B27F7-D57F-4A31-9F94-7C714A22CF82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<sst xmlns="http://schemas.openxmlformats.org/spreadsheetml/2006/main" count="270" uniqueCount="165">
  <si>
    <t>Customer ID</t>
  </si>
  <si>
    <t>Full Name</t>
  </si>
  <si>
    <t>Email</t>
  </si>
  <si>
    <t>Phone</t>
  </si>
  <si>
    <t>City</t>
  </si>
  <si>
    <t>State</t>
  </si>
  <si>
    <t>Signup Date</t>
  </si>
  <si>
    <t>Total Purchases</t>
  </si>
  <si>
    <t>Membership Tier</t>
  </si>
  <si>
    <t>CUST0026</t>
  </si>
  <si>
    <t>Arjun Menon</t>
  </si>
  <si>
    <t>arjun.menon26@example.com</t>
  </si>
  <si>
    <t>hyderabad</t>
  </si>
  <si>
    <t>Telangana</t>
  </si>
  <si>
    <t>Bronze</t>
  </si>
  <si>
    <t>CUST0015</t>
  </si>
  <si>
    <t>Pooja Gupta</t>
  </si>
  <si>
    <t>Ahmedabad</t>
  </si>
  <si>
    <t>Gujarat</t>
  </si>
  <si>
    <t>Platinum</t>
  </si>
  <si>
    <t>CUST0003</t>
  </si>
  <si>
    <t>Arjun Chauhan</t>
  </si>
  <si>
    <t>arjun.chauhan3@example.com</t>
  </si>
  <si>
    <t>Chennai</t>
  </si>
  <si>
    <t>Tamil Nadu</t>
  </si>
  <si>
    <t>Gold</t>
  </si>
  <si>
    <t>CUST0027</t>
  </si>
  <si>
    <t>Rohan Kapoor</t>
  </si>
  <si>
    <t>rohan.kapoor27@example.com</t>
  </si>
  <si>
    <t>CUST0009</t>
  </si>
  <si>
    <t>Siddharth Kapoor</t>
  </si>
  <si>
    <t>siddharth.kapoor9@example.com</t>
  </si>
  <si>
    <t>Silver</t>
  </si>
  <si>
    <t>CUST0035</t>
  </si>
  <si>
    <t>POOJA.GUPTA15@EXAMPLE.COM</t>
  </si>
  <si>
    <t>CUST0024</t>
  </si>
  <si>
    <t>Ananya Bhatt</t>
  </si>
  <si>
    <t>Hyderabad</t>
  </si>
  <si>
    <t>CUST0011</t>
  </si>
  <si>
    <t>Nikhil Verma</t>
  </si>
  <si>
    <t>CHENNAI</t>
  </si>
  <si>
    <t>CUST0019</t>
  </si>
  <si>
    <t>Siddharth Patel</t>
  </si>
  <si>
    <t>siddharth.patel19@example.com</t>
  </si>
  <si>
    <t>Jaipur</t>
  </si>
  <si>
    <t>Rajasthan</t>
  </si>
  <si>
    <t>CUST0025</t>
  </si>
  <si>
    <t>siddharth.kapoor25@example.com</t>
  </si>
  <si>
    <t>CUST0013</t>
  </si>
  <si>
    <t>Pooja Kapoor</t>
  </si>
  <si>
    <t>pooja.kapoor13@example.com</t>
  </si>
  <si>
    <t>CUST0029</t>
  </si>
  <si>
    <t>Meera Reddy</t>
  </si>
  <si>
    <t>meera.reddy29@example.com</t>
  </si>
  <si>
    <t>CUST0034</t>
  </si>
  <si>
    <t xml:space="preserve">Anika Gupta </t>
  </si>
  <si>
    <t>anika.gupta12@example.com</t>
  </si>
  <si>
    <t>CUST0014</t>
  </si>
  <si>
    <t>Pooja Das</t>
  </si>
  <si>
    <t>pooja.das14@example.com</t>
  </si>
  <si>
    <t>Kolkata</t>
  </si>
  <si>
    <t>West Bengal</t>
  </si>
  <si>
    <t>CUST0028</t>
  </si>
  <si>
    <t>Sneha Chauhan</t>
  </si>
  <si>
    <t>sneha.chauhan28@example.com</t>
  </si>
  <si>
    <t>Delhi</t>
  </si>
  <si>
    <t>CUST0008</t>
  </si>
  <si>
    <t>Aditya Rao</t>
  </si>
  <si>
    <t>aditya.rao8@example.com</t>
  </si>
  <si>
    <t>CUST0023</t>
  </si>
  <si>
    <t>Simran Menon</t>
  </si>
  <si>
    <t>simran.menon23@example.com</t>
  </si>
  <si>
    <t>CUST0017</t>
  </si>
  <si>
    <t>Aarav Joshi</t>
  </si>
  <si>
    <t>aarav.joshi17@example.com</t>
  </si>
  <si>
    <t>CUST0007</t>
  </si>
  <si>
    <t>Aditya Das</t>
  </si>
  <si>
    <t>aditya.das7@example.com</t>
  </si>
  <si>
    <t>Maharashtra</t>
  </si>
  <si>
    <t>CUST0001</t>
  </si>
  <si>
    <t>Diya Rao</t>
  </si>
  <si>
    <t>diya.rao1@example.com</t>
  </si>
  <si>
    <t>CUST0005</t>
  </si>
  <si>
    <t>Ishaan Sharma</t>
  </si>
  <si>
    <t>ishaan.sharma5@example.com</t>
  </si>
  <si>
    <t>PUNE</t>
  </si>
  <si>
    <t>CUST0006</t>
  </si>
  <si>
    <t>Aarav Verma</t>
  </si>
  <si>
    <t>aarav.verma6@example.com</t>
  </si>
  <si>
    <t>Bengaluru</t>
  </si>
  <si>
    <t>Karnataka</t>
  </si>
  <si>
    <t>CUST0022</t>
  </si>
  <si>
    <t>Diya Sharma</t>
  </si>
  <si>
    <t>diya.sharma22@example.com</t>
  </si>
  <si>
    <t>CUST0030</t>
  </si>
  <si>
    <t>Vivaan Chauhan</t>
  </si>
  <si>
    <t>CUST0032</t>
  </si>
  <si>
    <t xml:space="preserve">Simran Menon </t>
  </si>
  <si>
    <t>CUST0021</t>
  </si>
  <si>
    <t>Aditya Menon</t>
  </si>
  <si>
    <t>aditya.menon21@example.com</t>
  </si>
  <si>
    <t>jaipur</t>
  </si>
  <si>
    <t>CUST0012</t>
  </si>
  <si>
    <t>Anika Gupta</t>
  </si>
  <si>
    <t>CUST0016</t>
  </si>
  <si>
    <t>Aditi Rao</t>
  </si>
  <si>
    <t>aditi.rao16@example.com</t>
  </si>
  <si>
    <t xml:space="preserve"> Ahmedabad</t>
  </si>
  <si>
    <t>CUST0033</t>
  </si>
  <si>
    <t xml:space="preserve">Aarav Verma </t>
  </si>
  <si>
    <t>CUST0002</t>
  </si>
  <si>
    <t>ananya.bhatt2@example.com</t>
  </si>
  <si>
    <t>CUST0031</t>
  </si>
  <si>
    <t xml:space="preserve">Arjun Chauhan </t>
  </si>
  <si>
    <t>CUST0010</t>
  </si>
  <si>
    <t>Pooja Chauhan</t>
  </si>
  <si>
    <t>CUST0004</t>
  </si>
  <si>
    <t>Isha Reddy</t>
  </si>
  <si>
    <t>isha.reddy4@example.com</t>
  </si>
  <si>
    <t>CUST0020</t>
  </si>
  <si>
    <t>Arjun Verma</t>
  </si>
  <si>
    <t>arjun.verma20@example.com</t>
  </si>
  <si>
    <t>bengaluru</t>
  </si>
  <si>
    <t>CUST0018</t>
  </si>
  <si>
    <t>Devansh Rao</t>
  </si>
  <si>
    <t>devansh.rao18@example.com</t>
  </si>
  <si>
    <t>9353685823</t>
  </si>
  <si>
    <t>9227130570</t>
  </si>
  <si>
    <t>9917749035</t>
  </si>
  <si>
    <t>9280788920</t>
  </si>
  <si>
    <t>9622942419</t>
  </si>
  <si>
    <t>9210859664</t>
  </si>
  <si>
    <t>9784421408</t>
  </si>
  <si>
    <t>9384054524</t>
  </si>
  <si>
    <t>9856873800</t>
  </si>
  <si>
    <t>Remove Duplicates only deletes records that are exactly the same, so if any value is different (even an extra space, different spelling, or formatting), Excel treats it as a different record and does not remove it.</t>
  </si>
  <si>
    <t>Part B: Q.7</t>
  </si>
  <si>
    <t>Email (Normalized)</t>
  </si>
  <si>
    <t>Name (Normalised)</t>
  </si>
  <si>
    <t>Email Match Count</t>
  </si>
  <si>
    <t>Name Match Count</t>
  </si>
  <si>
    <t>Review Flag</t>
  </si>
  <si>
    <t>Blank Email</t>
  </si>
  <si>
    <t>Blank City</t>
  </si>
  <si>
    <t>Blank Ph</t>
  </si>
  <si>
    <t>Not Provided</t>
  </si>
  <si>
    <t>Unknown</t>
  </si>
  <si>
    <t>City (Cleaned)</t>
  </si>
  <si>
    <t>NotProvided</t>
  </si>
  <si>
    <t>(0 after part D)</t>
  </si>
  <si>
    <t>Data Quality ScoreCard</t>
  </si>
  <si>
    <t>Metric</t>
  </si>
  <si>
    <t>Formula/Value</t>
  </si>
  <si>
    <t>Total Rows Imported</t>
  </si>
  <si>
    <t>Exact Duplicates Removed</t>
  </si>
  <si>
    <t>Near Duplicates Resolved</t>
  </si>
  <si>
    <t>Final Row Count</t>
  </si>
  <si>
    <t>Blank Emails Filled</t>
  </si>
  <si>
    <t>Blank Ph Filled</t>
  </si>
  <si>
    <t>Blank City Filled</t>
  </si>
  <si>
    <t>Invalid Purchase Values</t>
  </si>
  <si>
    <t>Phone (normalized)</t>
  </si>
  <si>
    <t>Phone Match Count</t>
  </si>
  <si>
    <t>Customer Count</t>
  </si>
  <si>
    <t>Total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</si>
</sst>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14009]dd/mm/yyyy;@"/>
    <numFmt numFmtId="171" formatCode="_ [$₹-4009]\ * #,##0.00_ ;_ [$₹-4009]\ * \-#,##0.00_ ;_ [$₹-4009]\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8" fillId="4" borderId="0" xfId="8" applyAlignment="1">
      <alignment horizontal="center" vertical="center"/>
    </xf>
    <xf numFmtId="0" fontId="18" fillId="33" borderId="10" xfId="0" applyNumberFormat="1" applyFont="1" applyFill="1" applyBorder="1" applyAlignment="1">
      <alignment horizontal="right"/>
    </xf>
    <xf numFmtId="0" fontId="18" fillId="34" borderId="10" xfId="0" applyNumberFormat="1" applyFont="1" applyFill="1" applyBorder="1" applyAlignment="1">
      <alignment horizontal="right"/>
    </xf>
    <xf numFmtId="0" fontId="0" fillId="0" borderId="10" xfId="0" applyBorder="1"/>
    <xf numFmtId="49" fontId="18" fillId="33" borderId="10" xfId="0" applyNumberFormat="1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right"/>
    </xf>
    <xf numFmtId="169" fontId="18" fillId="33" borderId="10" xfId="0" applyNumberFormat="1" applyFont="1" applyFill="1" applyBorder="1" applyAlignment="1">
      <alignment horizontal="right"/>
    </xf>
    <xf numFmtId="169" fontId="18" fillId="34" borderId="10" xfId="0" applyNumberFormat="1" applyFont="1" applyFill="1" applyBorder="1" applyAlignment="1">
      <alignment horizontal="right"/>
    </xf>
    <xf numFmtId="171" fontId="18" fillId="33" borderId="10" xfId="0" applyNumberFormat="1" applyFont="1" applyFill="1" applyBorder="1" applyAlignment="1">
      <alignment horizontal="right"/>
    </xf>
    <xf numFmtId="171" fontId="18" fillId="34" borderId="10" xfId="0" applyNumberFormat="1" applyFont="1" applyFill="1" applyBorder="1" applyAlignment="1">
      <alignment horizontal="right"/>
    </xf>
    <xf numFmtId="0" fontId="8" fillId="4" borderId="10" xfId="8" applyBorder="1" applyAlignment="1">
      <alignment horizontal="center" vertical="center"/>
    </xf>
    <xf numFmtId="0" fontId="0" fillId="0" borderId="10" xfId="0" applyBorder="1" applyAlignment="1">
      <alignment horizontal="right"/>
    </xf>
    <xf numFmtId="49" fontId="0" fillId="0" borderId="10" xfId="0" applyNumberFormat="1" applyBorder="1" applyAlignment="1">
      <alignment horizontal="right"/>
    </xf>
    <xf numFmtId="0" fontId="19" fillId="4" borderId="10" xfId="8" applyFont="1" applyBorder="1" applyAlignment="1">
      <alignment horizontal="right"/>
    </xf>
    <xf numFmtId="0" fontId="8" fillId="4" borderId="10" xfId="8" applyBorder="1"/>
    <xf numFmtId="0" fontId="0" fillId="8" borderId="8" xfId="15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7A04-8E95-4AED-A7AF-E6C081D2E97C}">
  <dimension ref="A1:AI45"/>
  <sheetViews>
    <sheetView showGridLines="0" tabSelected="1" topLeftCell="B1" zoomScaleNormal="100" workbookViewId="0">
      <pane ySplit="1" topLeftCell="A2" activePane="bottomLeft" state="frozen"/>
      <selection pane="bottomLeft" activeCell="I37" sqref="I37"/>
    </sheetView>
  </sheetViews>
  <sheetFormatPr defaultRowHeight="15" x14ac:dyDescent="0.25"/>
  <cols>
    <col min="1" max="1" width="12.42578125" bestFit="1" customWidth="1"/>
    <col min="2" max="2" width="16.5703125" bestFit="1" customWidth="1"/>
    <col min="3" max="3" width="11.42578125" bestFit="1" customWidth="1"/>
    <col min="4" max="4" width="13.7109375" bestFit="1" customWidth="1"/>
    <col min="5" max="5" width="12.140625" bestFit="1" customWidth="1"/>
    <col min="6" max="6" width="12.42578125" bestFit="1" customWidth="1"/>
    <col min="7" max="7" width="11.85546875" bestFit="1" customWidth="1"/>
    <col min="8" max="8" width="15.28515625" bestFit="1" customWidth="1"/>
    <col min="9" max="9" width="16.28515625" bestFit="1" customWidth="1"/>
    <col min="10" max="10" width="32.7109375" bestFit="1" customWidth="1"/>
    <col min="11" max="11" width="18.85546875" bestFit="1" customWidth="1"/>
    <col min="12" max="12" width="18.140625" bestFit="1" customWidth="1"/>
    <col min="13" max="13" width="18.42578125" bestFit="1" customWidth="1"/>
    <col min="14" max="14" width="11.5703125" bestFit="1" customWidth="1"/>
    <col min="15" max="15" width="14.28515625" bestFit="1" customWidth="1"/>
    <col min="16" max="17" width="18.85546875" bestFit="1" customWidth="1"/>
  </cols>
  <sheetData>
    <row r="1" spans="1:1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137</v>
      </c>
      <c r="K1" s="14" t="s">
        <v>138</v>
      </c>
      <c r="L1" s="14" t="s">
        <v>139</v>
      </c>
      <c r="M1" s="14" t="s">
        <v>140</v>
      </c>
      <c r="N1" s="14" t="s">
        <v>141</v>
      </c>
      <c r="O1" s="14" t="s">
        <v>147</v>
      </c>
      <c r="P1" s="14" t="s">
        <v>161</v>
      </c>
      <c r="Q1" s="14" t="s">
        <v>162</v>
      </c>
    </row>
    <row r="2" spans="1:17" x14ac:dyDescent="0.25">
      <c r="A2" s="2" t="s">
        <v>79</v>
      </c>
      <c r="B2" s="2" t="s">
        <v>80</v>
      </c>
      <c r="C2" s="2" t="s">
        <v>81</v>
      </c>
      <c r="D2" s="5" t="s">
        <v>148</v>
      </c>
      <c r="E2" s="2" t="s">
        <v>44</v>
      </c>
      <c r="F2" s="2" t="s">
        <v>45</v>
      </c>
      <c r="G2" s="7">
        <v>45544</v>
      </c>
      <c r="H2" s="9">
        <v>18267</v>
      </c>
      <c r="I2" s="2" t="s">
        <v>25</v>
      </c>
      <c r="J2" s="2" t="str">
        <f>TRIM(LOWER(customer_data!$C2))</f>
        <v>diya.rao1@example.com</v>
      </c>
      <c r="K2" s="2" t="str">
        <f>TRIM(PROPER(customer_data!$B2))</f>
        <v>Diya Rao</v>
      </c>
      <c r="L2" s="2">
        <f>COUNTIF($J$2:$J$36, J2)</f>
        <v>1</v>
      </c>
      <c r="M2" s="12">
        <f>COUNTIF($K$2:$K$36, K2)</f>
        <v>1</v>
      </c>
      <c r="N2" s="12" t="str">
        <f>IF(OR(L2&gt;1,M2&gt;1),"Review","OK")</f>
        <v>OK</v>
      </c>
      <c r="O2" s="12" t="str">
        <f>PROPER(TRIM(E2))</f>
        <v>Jaipur</v>
      </c>
      <c r="P2" s="13" t="str" cm="1">
        <f t="array" ref="P2:P36">D2:D36</f>
        <v>NotProvided</v>
      </c>
      <c r="Q2" s="4">
        <f>COUNTIF($P:$P,P2)</f>
        <v>6</v>
      </c>
    </row>
    <row r="3" spans="1:17" x14ac:dyDescent="0.25">
      <c r="A3" s="3" t="s">
        <v>110</v>
      </c>
      <c r="B3" s="3" t="s">
        <v>36</v>
      </c>
      <c r="C3" s="3" t="s">
        <v>111</v>
      </c>
      <c r="D3" s="6">
        <v>9177981439</v>
      </c>
      <c r="E3" s="3" t="s">
        <v>17</v>
      </c>
      <c r="F3" s="3" t="s">
        <v>18</v>
      </c>
      <c r="G3" s="8">
        <v>45602</v>
      </c>
      <c r="H3" s="10">
        <v>31080</v>
      </c>
      <c r="I3" s="3" t="s">
        <v>19</v>
      </c>
      <c r="J3" s="3" t="str">
        <f>TRIM(LOWER(customer_data!$C3))</f>
        <v>ananya.bhatt2@example.com</v>
      </c>
      <c r="K3" s="3" t="str">
        <f>TRIM(PROPER(customer_data!$B3))</f>
        <v>Ananya Bhatt</v>
      </c>
      <c r="L3" s="2">
        <f>COUNTIF($J$2:$J$36, J3)</f>
        <v>1</v>
      </c>
      <c r="M3" s="12">
        <f>COUNTIF($K$2:$K$36, K3)</f>
        <v>2</v>
      </c>
      <c r="N3" s="12" t="str">
        <f t="shared" ref="N3:N36" si="0">IF(OR(L3&gt;1,M3&gt;1),"Review","OK")</f>
        <v>Review</v>
      </c>
      <c r="O3" s="12" t="str">
        <f t="shared" ref="O3:O36" si="1">PROPER(TRIM(E3))</f>
        <v>Ahmedabad</v>
      </c>
      <c r="P3" s="12">
        <v>9177981439</v>
      </c>
      <c r="Q3" s="4">
        <f t="shared" ref="Q3:Q36" si="2">COUNTIF($P:$P,P3)</f>
        <v>1</v>
      </c>
    </row>
    <row r="4" spans="1:17" x14ac:dyDescent="0.25">
      <c r="A4" s="2" t="s">
        <v>20</v>
      </c>
      <c r="B4" s="2" t="s">
        <v>21</v>
      </c>
      <c r="C4" s="2" t="s">
        <v>22</v>
      </c>
      <c r="D4" s="5" t="s">
        <v>127</v>
      </c>
      <c r="E4" s="2" t="s">
        <v>23</v>
      </c>
      <c r="F4" s="2" t="s">
        <v>24</v>
      </c>
      <c r="G4" s="7">
        <v>45520</v>
      </c>
      <c r="H4" s="9">
        <v>21186</v>
      </c>
      <c r="I4" s="2" t="s">
        <v>25</v>
      </c>
      <c r="J4" s="2" t="str">
        <f>TRIM(LOWER(customer_data!$C4))</f>
        <v>arjun.chauhan3@example.com</v>
      </c>
      <c r="K4" s="2" t="str">
        <f>TRIM(PROPER(customer_data!$B4))</f>
        <v>Arjun Chauhan</v>
      </c>
      <c r="L4" s="2">
        <f>COUNTIF($J$2:$J$36, J4)</f>
        <v>2</v>
      </c>
      <c r="M4" s="12">
        <f>COUNTIF($K$2:$K$36, K4)</f>
        <v>2</v>
      </c>
      <c r="N4" s="12" t="str">
        <f t="shared" si="0"/>
        <v>Review</v>
      </c>
      <c r="O4" s="12" t="str">
        <f t="shared" si="1"/>
        <v>Chennai</v>
      </c>
      <c r="P4" s="12" t="str">
        <v>9227130570</v>
      </c>
      <c r="Q4" s="4">
        <f t="shared" si="2"/>
        <v>2</v>
      </c>
    </row>
    <row r="5" spans="1:17" x14ac:dyDescent="0.25">
      <c r="A5" s="3" t="s">
        <v>116</v>
      </c>
      <c r="B5" s="3" t="s">
        <v>117</v>
      </c>
      <c r="C5" s="3" t="s">
        <v>118</v>
      </c>
      <c r="D5" s="6">
        <v>9487266582</v>
      </c>
      <c r="E5" s="3" t="s">
        <v>44</v>
      </c>
      <c r="F5" s="3" t="s">
        <v>45</v>
      </c>
      <c r="G5" s="8">
        <v>45445</v>
      </c>
      <c r="H5" s="10">
        <v>11054</v>
      </c>
      <c r="I5" s="3" t="s">
        <v>25</v>
      </c>
      <c r="J5" s="3" t="str">
        <f>TRIM(LOWER(customer_data!$C5))</f>
        <v>isha.reddy4@example.com</v>
      </c>
      <c r="K5" s="3" t="str">
        <f>TRIM(PROPER(customer_data!$B5))</f>
        <v>Isha Reddy</v>
      </c>
      <c r="L5" s="2">
        <f>COUNTIF($J$2:$J$36, J5)</f>
        <v>1</v>
      </c>
      <c r="M5" s="12">
        <f>COUNTIF($K$2:$K$36, K5)</f>
        <v>1</v>
      </c>
      <c r="N5" s="12" t="str">
        <f t="shared" si="0"/>
        <v>OK</v>
      </c>
      <c r="O5" s="12" t="str">
        <f t="shared" si="1"/>
        <v>Jaipur</v>
      </c>
      <c r="P5" s="12">
        <v>9487266582</v>
      </c>
      <c r="Q5" s="4">
        <f t="shared" si="2"/>
        <v>1</v>
      </c>
    </row>
    <row r="6" spans="1:17" x14ac:dyDescent="0.25">
      <c r="A6" s="2" t="s">
        <v>82</v>
      </c>
      <c r="B6" s="2" t="s">
        <v>83</v>
      </c>
      <c r="C6" s="2" t="s">
        <v>84</v>
      </c>
      <c r="D6" s="5" t="s">
        <v>148</v>
      </c>
      <c r="E6" s="2" t="s">
        <v>85</v>
      </c>
      <c r="F6" s="2" t="s">
        <v>78</v>
      </c>
      <c r="G6" s="7">
        <v>45417</v>
      </c>
      <c r="H6" s="9">
        <v>39482</v>
      </c>
      <c r="I6" s="2" t="s">
        <v>25</v>
      </c>
      <c r="J6" s="2" t="str">
        <f>TRIM(LOWER(customer_data!$C6))</f>
        <v>ishaan.sharma5@example.com</v>
      </c>
      <c r="K6" s="2" t="str">
        <f>TRIM(PROPER(customer_data!$B6))</f>
        <v>Ishaan Sharma</v>
      </c>
      <c r="L6" s="2">
        <f>COUNTIF($J$2:$J$36, J6)</f>
        <v>1</v>
      </c>
      <c r="M6" s="12">
        <f>COUNTIF($K$2:$K$36, K6)</f>
        <v>1</v>
      </c>
      <c r="N6" s="12" t="str">
        <f t="shared" si="0"/>
        <v>OK</v>
      </c>
      <c r="O6" s="12" t="str">
        <f t="shared" si="1"/>
        <v>Pune</v>
      </c>
      <c r="P6" s="12" t="str">
        <v>NotProvided</v>
      </c>
      <c r="Q6" s="4">
        <f t="shared" si="2"/>
        <v>6</v>
      </c>
    </row>
    <row r="7" spans="1:17" x14ac:dyDescent="0.25">
      <c r="A7" s="3" t="s">
        <v>86</v>
      </c>
      <c r="B7" s="3" t="s">
        <v>87</v>
      </c>
      <c r="C7" s="3" t="s">
        <v>88</v>
      </c>
      <c r="D7" s="6">
        <v>9394263945</v>
      </c>
      <c r="E7" s="3" t="s">
        <v>89</v>
      </c>
      <c r="F7" s="3" t="s">
        <v>90</v>
      </c>
      <c r="G7" s="8">
        <v>46166</v>
      </c>
      <c r="H7" s="10">
        <v>25526</v>
      </c>
      <c r="I7" s="3" t="s">
        <v>19</v>
      </c>
      <c r="J7" s="3" t="str">
        <f>TRIM(LOWER(customer_data!$C7))</f>
        <v>aarav.verma6@example.com</v>
      </c>
      <c r="K7" s="3" t="str">
        <f>TRIM(PROPER(customer_data!$B7))</f>
        <v>Aarav Verma</v>
      </c>
      <c r="L7" s="2">
        <f>COUNTIF($J$2:$J$36, J7)</f>
        <v>2</v>
      </c>
      <c r="M7" s="12">
        <f>COUNTIF($K$2:$K$36, K7)</f>
        <v>2</v>
      </c>
      <c r="N7" s="12" t="str">
        <f t="shared" si="0"/>
        <v>Review</v>
      </c>
      <c r="O7" s="12" t="str">
        <f t="shared" si="1"/>
        <v>Bengaluru</v>
      </c>
      <c r="P7" s="12">
        <v>9394263945</v>
      </c>
      <c r="Q7" s="4">
        <f t="shared" si="2"/>
        <v>2</v>
      </c>
    </row>
    <row r="8" spans="1:17" x14ac:dyDescent="0.25">
      <c r="A8" s="2" t="s">
        <v>75</v>
      </c>
      <c r="B8" s="2" t="s">
        <v>76</v>
      </c>
      <c r="C8" s="2" t="s">
        <v>77</v>
      </c>
      <c r="D8" s="5">
        <v>9752331677</v>
      </c>
      <c r="E8" s="2" t="s">
        <v>146</v>
      </c>
      <c r="F8" s="2" t="s">
        <v>78</v>
      </c>
      <c r="G8" s="7">
        <v>46185</v>
      </c>
      <c r="H8" s="9">
        <v>42499</v>
      </c>
      <c r="I8" s="2" t="s">
        <v>14</v>
      </c>
      <c r="J8" s="2" t="str">
        <f>TRIM(LOWER(customer_data!$C8))</f>
        <v>aditya.das7@example.com</v>
      </c>
      <c r="K8" s="2" t="str">
        <f>TRIM(PROPER(customer_data!$B8))</f>
        <v>Aditya Das</v>
      </c>
      <c r="L8" s="2">
        <f>COUNTIF($J$2:$J$36, J8)</f>
        <v>1</v>
      </c>
      <c r="M8" s="12">
        <f>COUNTIF($K$2:$K$36, K8)</f>
        <v>1</v>
      </c>
      <c r="N8" s="12" t="str">
        <f t="shared" si="0"/>
        <v>OK</v>
      </c>
      <c r="O8" s="12" t="str">
        <f t="shared" si="1"/>
        <v>Unknown</v>
      </c>
      <c r="P8" s="12">
        <v>9752331677</v>
      </c>
      <c r="Q8" s="4">
        <f t="shared" si="2"/>
        <v>1</v>
      </c>
    </row>
    <row r="9" spans="1:17" x14ac:dyDescent="0.25">
      <c r="A9" s="3" t="s">
        <v>66</v>
      </c>
      <c r="B9" s="3" t="s">
        <v>67</v>
      </c>
      <c r="C9" s="3" t="s">
        <v>68</v>
      </c>
      <c r="D9" s="6" t="s">
        <v>132</v>
      </c>
      <c r="E9" s="3" t="s">
        <v>37</v>
      </c>
      <c r="F9" s="3" t="s">
        <v>13</v>
      </c>
      <c r="G9" s="8">
        <v>45477</v>
      </c>
      <c r="H9" s="10">
        <v>6704</v>
      </c>
      <c r="I9" s="3" t="s">
        <v>19</v>
      </c>
      <c r="J9" s="3" t="str">
        <f>TRIM(LOWER(customer_data!$C9))</f>
        <v>aditya.rao8@example.com</v>
      </c>
      <c r="K9" s="3" t="str">
        <f>TRIM(PROPER(customer_data!$B9))</f>
        <v>Aditya Rao</v>
      </c>
      <c r="L9" s="2">
        <f>COUNTIF($J$2:$J$36, J9)</f>
        <v>1</v>
      </c>
      <c r="M9" s="12">
        <f>COUNTIF($K$2:$K$36, K9)</f>
        <v>1</v>
      </c>
      <c r="N9" s="12" t="str">
        <f t="shared" si="0"/>
        <v>OK</v>
      </c>
      <c r="O9" s="12" t="str">
        <f t="shared" si="1"/>
        <v>Hyderabad</v>
      </c>
      <c r="P9" s="12" t="str">
        <v>9784421408</v>
      </c>
      <c r="Q9" s="4">
        <f t="shared" si="2"/>
        <v>1</v>
      </c>
    </row>
    <row r="10" spans="1:17" x14ac:dyDescent="0.25">
      <c r="A10" s="2" t="s">
        <v>29</v>
      </c>
      <c r="B10" s="2" t="s">
        <v>30</v>
      </c>
      <c r="C10" s="2" t="s">
        <v>31</v>
      </c>
      <c r="D10" s="5" t="s">
        <v>148</v>
      </c>
      <c r="E10" s="2" t="s">
        <v>23</v>
      </c>
      <c r="F10" s="2" t="s">
        <v>24</v>
      </c>
      <c r="G10" s="7">
        <v>45755</v>
      </c>
      <c r="H10" s="9">
        <v>41402</v>
      </c>
      <c r="I10" s="2" t="s">
        <v>32</v>
      </c>
      <c r="J10" s="2" t="str">
        <f>TRIM(LOWER(customer_data!$C10))</f>
        <v>siddharth.kapoor9@example.com</v>
      </c>
      <c r="K10" s="2" t="str">
        <f>TRIM(PROPER(customer_data!$B10))</f>
        <v>Siddharth Kapoor</v>
      </c>
      <c r="L10" s="2">
        <f>COUNTIF($J$2:$J$36, J10)</f>
        <v>1</v>
      </c>
      <c r="M10" s="12">
        <f>COUNTIF($K$2:$K$36, K10)</f>
        <v>2</v>
      </c>
      <c r="N10" s="12" t="str">
        <f t="shared" si="0"/>
        <v>Review</v>
      </c>
      <c r="O10" s="12" t="str">
        <f t="shared" si="1"/>
        <v>Chennai</v>
      </c>
      <c r="P10" s="12" t="str">
        <v>NotProvided</v>
      </c>
      <c r="Q10" s="4">
        <f t="shared" si="2"/>
        <v>6</v>
      </c>
    </row>
    <row r="11" spans="1:17" x14ac:dyDescent="0.25">
      <c r="A11" s="3" t="s">
        <v>114</v>
      </c>
      <c r="B11" s="3" t="s">
        <v>115</v>
      </c>
      <c r="C11" s="3" t="s">
        <v>145</v>
      </c>
      <c r="D11" s="6" t="s">
        <v>148</v>
      </c>
      <c r="E11" s="3" t="s">
        <v>146</v>
      </c>
      <c r="F11" s="3" t="s">
        <v>45</v>
      </c>
      <c r="G11" s="8">
        <v>45552</v>
      </c>
      <c r="H11" s="10">
        <v>7212</v>
      </c>
      <c r="I11" s="3" t="s">
        <v>14</v>
      </c>
      <c r="J11" s="3" t="str">
        <f>TRIM(LOWER(customer_data!$C11))</f>
        <v>not provided</v>
      </c>
      <c r="K11" s="3" t="str">
        <f>TRIM(PROPER(customer_data!$B11))</f>
        <v>Pooja Chauhan</v>
      </c>
      <c r="L11" s="2">
        <f>COUNTIF($J$2:$J$36, J11)</f>
        <v>6</v>
      </c>
      <c r="M11" s="12">
        <f>COUNTIF($K$2:$K$36, K11)</f>
        <v>1</v>
      </c>
      <c r="N11" s="12" t="str">
        <f t="shared" si="0"/>
        <v>Review</v>
      </c>
      <c r="O11" s="12" t="str">
        <f t="shared" si="1"/>
        <v>Unknown</v>
      </c>
      <c r="P11" s="12" t="str">
        <v>NotProvided</v>
      </c>
      <c r="Q11" s="4">
        <f t="shared" si="2"/>
        <v>6</v>
      </c>
    </row>
    <row r="12" spans="1:17" x14ac:dyDescent="0.25">
      <c r="A12" s="2" t="s">
        <v>38</v>
      </c>
      <c r="B12" s="2" t="s">
        <v>39</v>
      </c>
      <c r="C12" s="2" t="s">
        <v>145</v>
      </c>
      <c r="D12" s="5">
        <v>9399178390</v>
      </c>
      <c r="E12" s="2" t="s">
        <v>40</v>
      </c>
      <c r="F12" s="2" t="s">
        <v>24</v>
      </c>
      <c r="G12" s="7">
        <v>45413</v>
      </c>
      <c r="H12" s="9">
        <v>2334</v>
      </c>
      <c r="I12" s="2" t="s">
        <v>32</v>
      </c>
      <c r="J12" s="2" t="str">
        <f>TRIM(LOWER(customer_data!$C12))</f>
        <v>not provided</v>
      </c>
      <c r="K12" s="2" t="str">
        <f>TRIM(PROPER(customer_data!$B12))</f>
        <v>Nikhil Verma</v>
      </c>
      <c r="L12" s="2">
        <f>COUNTIF($J$2:$J$36, J12)</f>
        <v>6</v>
      </c>
      <c r="M12" s="12">
        <f>COUNTIF($K$2:$K$36, K12)</f>
        <v>1</v>
      </c>
      <c r="N12" s="12" t="str">
        <f t="shared" si="0"/>
        <v>Review</v>
      </c>
      <c r="O12" s="12" t="str">
        <f t="shared" si="1"/>
        <v>Chennai</v>
      </c>
      <c r="P12" s="12">
        <v>9399178390</v>
      </c>
      <c r="Q12" s="4">
        <f t="shared" si="2"/>
        <v>1</v>
      </c>
    </row>
    <row r="13" spans="1:17" x14ac:dyDescent="0.25">
      <c r="A13" s="3" t="s">
        <v>102</v>
      </c>
      <c r="B13" s="3" t="s">
        <v>103</v>
      </c>
      <c r="C13" s="3" t="s">
        <v>145</v>
      </c>
      <c r="D13" s="6">
        <v>9222271940</v>
      </c>
      <c r="E13" s="3" t="s">
        <v>44</v>
      </c>
      <c r="F13" s="3" t="s">
        <v>45</v>
      </c>
      <c r="G13" s="8">
        <v>45892</v>
      </c>
      <c r="H13" s="10">
        <v>6593</v>
      </c>
      <c r="I13" s="3" t="s">
        <v>19</v>
      </c>
      <c r="J13" s="3" t="str">
        <f>TRIM(LOWER(customer_data!$C13))</f>
        <v>not provided</v>
      </c>
      <c r="K13" s="3" t="str">
        <f>TRIM(PROPER(customer_data!$B13))</f>
        <v>Anika Gupta</v>
      </c>
      <c r="L13" s="2">
        <f>COUNTIF($J$2:$J$36, J13)</f>
        <v>6</v>
      </c>
      <c r="M13" s="12">
        <f>COUNTIF($K$2:$K$36, K13)</f>
        <v>2</v>
      </c>
      <c r="N13" s="12" t="str">
        <f t="shared" si="0"/>
        <v>Review</v>
      </c>
      <c r="O13" s="12" t="str">
        <f t="shared" si="1"/>
        <v>Jaipur</v>
      </c>
      <c r="P13" s="12">
        <v>9222271940</v>
      </c>
      <c r="Q13" s="4">
        <f t="shared" si="2"/>
        <v>2</v>
      </c>
    </row>
    <row r="14" spans="1:17" x14ac:dyDescent="0.25">
      <c r="A14" s="2" t="s">
        <v>48</v>
      </c>
      <c r="B14" s="2" t="s">
        <v>49</v>
      </c>
      <c r="C14" s="2" t="s">
        <v>50</v>
      </c>
      <c r="D14" s="5" t="s">
        <v>129</v>
      </c>
      <c r="E14" s="2" t="s">
        <v>44</v>
      </c>
      <c r="F14" s="2" t="s">
        <v>45</v>
      </c>
      <c r="G14" s="7">
        <v>45687</v>
      </c>
      <c r="H14" s="9">
        <v>30329</v>
      </c>
      <c r="I14" s="2" t="s">
        <v>25</v>
      </c>
      <c r="J14" s="2" t="str">
        <f>TRIM(LOWER(customer_data!$C14))</f>
        <v>pooja.kapoor13@example.com</v>
      </c>
      <c r="K14" s="2" t="str">
        <f>TRIM(PROPER(customer_data!$B14))</f>
        <v>Pooja Kapoor</v>
      </c>
      <c r="L14" s="2">
        <f>COUNTIF($J$2:$J$36, J14)</f>
        <v>1</v>
      </c>
      <c r="M14" s="12">
        <f>COUNTIF($K$2:$K$36, K14)</f>
        <v>1</v>
      </c>
      <c r="N14" s="12" t="str">
        <f t="shared" si="0"/>
        <v>OK</v>
      </c>
      <c r="O14" s="12" t="str">
        <f t="shared" si="1"/>
        <v>Jaipur</v>
      </c>
      <c r="P14" s="12" t="str">
        <v>9280788920</v>
      </c>
      <c r="Q14" s="4">
        <f t="shared" si="2"/>
        <v>1</v>
      </c>
    </row>
    <row r="15" spans="1:17" x14ac:dyDescent="0.25">
      <c r="A15" s="3" t="s">
        <v>57</v>
      </c>
      <c r="B15" s="3" t="s">
        <v>58</v>
      </c>
      <c r="C15" s="3" t="s">
        <v>59</v>
      </c>
      <c r="D15" s="6">
        <v>9569270901</v>
      </c>
      <c r="E15" s="3" t="s">
        <v>60</v>
      </c>
      <c r="F15" s="3" t="s">
        <v>61</v>
      </c>
      <c r="G15" s="8">
        <v>45901</v>
      </c>
      <c r="H15" s="10">
        <v>-6716</v>
      </c>
      <c r="I15" s="3" t="s">
        <v>25</v>
      </c>
      <c r="J15" s="3" t="str">
        <f>TRIM(LOWER(customer_data!$C15))</f>
        <v>pooja.das14@example.com</v>
      </c>
      <c r="K15" s="3" t="str">
        <f>TRIM(PROPER(customer_data!$B15))</f>
        <v>Pooja Das</v>
      </c>
      <c r="L15" s="2">
        <f>COUNTIF($J$2:$J$36, J15)</f>
        <v>1</v>
      </c>
      <c r="M15" s="12">
        <f>COUNTIF($K$2:$K$36, K15)</f>
        <v>1</v>
      </c>
      <c r="N15" s="12" t="str">
        <f t="shared" si="0"/>
        <v>OK</v>
      </c>
      <c r="O15" s="12" t="str">
        <f t="shared" si="1"/>
        <v>Kolkata</v>
      </c>
      <c r="P15" s="12">
        <v>9569270901</v>
      </c>
      <c r="Q15" s="4">
        <f t="shared" si="2"/>
        <v>1</v>
      </c>
    </row>
    <row r="16" spans="1:17" x14ac:dyDescent="0.25">
      <c r="A16" s="2" t="s">
        <v>15</v>
      </c>
      <c r="B16" s="2" t="s">
        <v>16</v>
      </c>
      <c r="C16" s="2" t="s">
        <v>145</v>
      </c>
      <c r="D16" s="5" t="s">
        <v>126</v>
      </c>
      <c r="E16" s="2" t="s">
        <v>17</v>
      </c>
      <c r="F16" s="2" t="s">
        <v>18</v>
      </c>
      <c r="G16" s="7">
        <v>46178</v>
      </c>
      <c r="H16" s="9">
        <v>-40828</v>
      </c>
      <c r="I16" s="2" t="s">
        <v>19</v>
      </c>
      <c r="J16" s="2" t="str">
        <f>TRIM(LOWER(customer_data!$C16))</f>
        <v>not provided</v>
      </c>
      <c r="K16" s="2" t="str">
        <f>TRIM(PROPER(customer_data!$B16))</f>
        <v>Pooja Gupta</v>
      </c>
      <c r="L16" s="2">
        <f t="shared" ref="L16" si="3">COUNTIF($J$2:$J$36, J16)</f>
        <v>6</v>
      </c>
      <c r="M16" s="12">
        <f t="shared" ref="M16" si="4">COUNTIF($K$2:$K$36, K16)</f>
        <v>2</v>
      </c>
      <c r="N16" s="12" t="str">
        <f t="shared" si="0"/>
        <v>Review</v>
      </c>
      <c r="O16" s="12" t="str">
        <f t="shared" si="1"/>
        <v>Ahmedabad</v>
      </c>
      <c r="P16" s="12" t="str">
        <v>9353685823</v>
      </c>
      <c r="Q16" s="4">
        <f t="shared" si="2"/>
        <v>2</v>
      </c>
    </row>
    <row r="17" spans="1:17" x14ac:dyDescent="0.25">
      <c r="A17" s="3" t="s">
        <v>104</v>
      </c>
      <c r="B17" s="3" t="s">
        <v>105</v>
      </c>
      <c r="C17" s="3" t="s">
        <v>106</v>
      </c>
      <c r="D17" s="6">
        <v>9253863931</v>
      </c>
      <c r="E17" s="3" t="s">
        <v>107</v>
      </c>
      <c r="F17" s="3" t="s">
        <v>18</v>
      </c>
      <c r="G17" s="8">
        <v>46012</v>
      </c>
      <c r="H17" s="10">
        <v>17984</v>
      </c>
      <c r="I17" s="3" t="s">
        <v>19</v>
      </c>
      <c r="J17" s="3" t="str">
        <f>TRIM(LOWER(customer_data!$C17))</f>
        <v>aditi.rao16@example.com</v>
      </c>
      <c r="K17" s="3" t="str">
        <f>TRIM(PROPER(customer_data!$B17))</f>
        <v>Aditi Rao</v>
      </c>
      <c r="L17" s="2">
        <f>COUNTIF($J$2:$J$36, J17)</f>
        <v>1</v>
      </c>
      <c r="M17" s="12">
        <f>COUNTIF($K$2:$K$36, K17)</f>
        <v>1</v>
      </c>
      <c r="N17" s="12" t="str">
        <f t="shared" si="0"/>
        <v>OK</v>
      </c>
      <c r="O17" s="12" t="str">
        <f t="shared" si="1"/>
        <v>Ahmedabad</v>
      </c>
      <c r="P17" s="12">
        <v>9253863931</v>
      </c>
      <c r="Q17" s="4">
        <f t="shared" si="2"/>
        <v>1</v>
      </c>
    </row>
    <row r="18" spans="1:17" x14ac:dyDescent="0.25">
      <c r="A18" s="2" t="s">
        <v>72</v>
      </c>
      <c r="B18" s="2" t="s">
        <v>73</v>
      </c>
      <c r="C18" s="2" t="s">
        <v>74</v>
      </c>
      <c r="D18" s="5" t="s">
        <v>134</v>
      </c>
      <c r="E18" s="2" t="s">
        <v>60</v>
      </c>
      <c r="F18" s="2" t="s">
        <v>61</v>
      </c>
      <c r="G18" s="7">
        <v>45725</v>
      </c>
      <c r="H18" s="9">
        <v>1862</v>
      </c>
      <c r="I18" s="2" t="s">
        <v>25</v>
      </c>
      <c r="J18" s="2" t="str">
        <f>TRIM(LOWER(customer_data!$C18))</f>
        <v>aarav.joshi17@example.com</v>
      </c>
      <c r="K18" s="2" t="str">
        <f>TRIM(PROPER(customer_data!$B18))</f>
        <v>Aarav Joshi</v>
      </c>
      <c r="L18" s="2">
        <f>COUNTIF($J$2:$J$36, J18)</f>
        <v>1</v>
      </c>
      <c r="M18" s="12">
        <f>COUNTIF($K$2:$K$36, K18)</f>
        <v>1</v>
      </c>
      <c r="N18" s="12" t="str">
        <f t="shared" si="0"/>
        <v>OK</v>
      </c>
      <c r="O18" s="12" t="str">
        <f t="shared" si="1"/>
        <v>Kolkata</v>
      </c>
      <c r="P18" s="12" t="str">
        <v>9856873800</v>
      </c>
      <c r="Q18" s="4">
        <f t="shared" si="2"/>
        <v>1</v>
      </c>
    </row>
    <row r="19" spans="1:17" x14ac:dyDescent="0.25">
      <c r="A19" s="3" t="s">
        <v>123</v>
      </c>
      <c r="B19" s="3" t="s">
        <v>124</v>
      </c>
      <c r="C19" s="3" t="s">
        <v>125</v>
      </c>
      <c r="D19" s="6">
        <v>9495084811</v>
      </c>
      <c r="E19" s="3" t="s">
        <v>17</v>
      </c>
      <c r="F19" s="3" t="s">
        <v>18</v>
      </c>
      <c r="G19" s="8">
        <v>45561</v>
      </c>
      <c r="H19" s="10">
        <v>23804</v>
      </c>
      <c r="I19" s="3" t="s">
        <v>25</v>
      </c>
      <c r="J19" s="3" t="str">
        <f>TRIM(LOWER(customer_data!$C19))</f>
        <v>devansh.rao18@example.com</v>
      </c>
      <c r="K19" s="3" t="str">
        <f>TRIM(PROPER(customer_data!$B19))</f>
        <v>Devansh Rao</v>
      </c>
      <c r="L19" s="2">
        <f>COUNTIF($J$2:$J$36, J19)</f>
        <v>1</v>
      </c>
      <c r="M19" s="12">
        <f>COUNTIF($K$2:$K$36, K19)</f>
        <v>1</v>
      </c>
      <c r="N19" s="12" t="str">
        <f t="shared" si="0"/>
        <v>OK</v>
      </c>
      <c r="O19" s="12" t="str">
        <f t="shared" si="1"/>
        <v>Ahmedabad</v>
      </c>
      <c r="P19" s="12">
        <v>9495084811</v>
      </c>
      <c r="Q19" s="4">
        <f t="shared" si="2"/>
        <v>1</v>
      </c>
    </row>
    <row r="20" spans="1:17" x14ac:dyDescent="0.25">
      <c r="A20" s="2" t="s">
        <v>41</v>
      </c>
      <c r="B20" s="2" t="s">
        <v>42</v>
      </c>
      <c r="C20" s="2" t="s">
        <v>43</v>
      </c>
      <c r="D20" s="5" t="s">
        <v>148</v>
      </c>
      <c r="E20" s="2" t="s">
        <v>44</v>
      </c>
      <c r="F20" s="2" t="s">
        <v>45</v>
      </c>
      <c r="G20" s="7">
        <v>45772</v>
      </c>
      <c r="H20" s="9">
        <v>17282</v>
      </c>
      <c r="I20" s="2" t="s">
        <v>14</v>
      </c>
      <c r="J20" s="2" t="str">
        <f>TRIM(LOWER(customer_data!$C20))</f>
        <v>siddharth.patel19@example.com</v>
      </c>
      <c r="K20" s="2" t="str">
        <f>TRIM(PROPER(customer_data!$B20))</f>
        <v>Siddharth Patel</v>
      </c>
      <c r="L20" s="2">
        <f>COUNTIF($J$2:$J$36, J20)</f>
        <v>1</v>
      </c>
      <c r="M20" s="12">
        <f>COUNTIF($K$2:$K$36, K20)</f>
        <v>1</v>
      </c>
      <c r="N20" s="12" t="str">
        <f t="shared" si="0"/>
        <v>OK</v>
      </c>
      <c r="O20" s="12" t="str">
        <f t="shared" si="1"/>
        <v>Jaipur</v>
      </c>
      <c r="P20" s="12" t="str">
        <v>NotProvided</v>
      </c>
      <c r="Q20" s="4">
        <f t="shared" si="2"/>
        <v>6</v>
      </c>
    </row>
    <row r="21" spans="1:17" x14ac:dyDescent="0.25">
      <c r="A21" s="3" t="s">
        <v>119</v>
      </c>
      <c r="B21" s="3" t="s">
        <v>120</v>
      </c>
      <c r="C21" s="3" t="s">
        <v>121</v>
      </c>
      <c r="D21" s="6">
        <v>9137343472</v>
      </c>
      <c r="E21" s="3" t="s">
        <v>122</v>
      </c>
      <c r="F21" s="3" t="s">
        <v>90</v>
      </c>
      <c r="G21" s="8">
        <v>45611</v>
      </c>
      <c r="H21" s="10">
        <v>2150</v>
      </c>
      <c r="I21" s="3" t="s">
        <v>14</v>
      </c>
      <c r="J21" s="3" t="str">
        <f>TRIM(LOWER(customer_data!$C21))</f>
        <v>arjun.verma20@example.com</v>
      </c>
      <c r="K21" s="3" t="str">
        <f>TRIM(PROPER(customer_data!$B21))</f>
        <v>Arjun Verma</v>
      </c>
      <c r="L21" s="2">
        <f>COUNTIF($J$2:$J$36, J21)</f>
        <v>1</v>
      </c>
      <c r="M21" s="12">
        <f>COUNTIF($K$2:$K$36, K21)</f>
        <v>1</v>
      </c>
      <c r="N21" s="12" t="str">
        <f t="shared" si="0"/>
        <v>OK</v>
      </c>
      <c r="O21" s="12" t="str">
        <f t="shared" si="1"/>
        <v>Bengaluru</v>
      </c>
      <c r="P21" s="12">
        <v>9137343472</v>
      </c>
      <c r="Q21" s="4">
        <f t="shared" si="2"/>
        <v>1</v>
      </c>
    </row>
    <row r="22" spans="1:17" x14ac:dyDescent="0.25">
      <c r="A22" s="2" t="s">
        <v>98</v>
      </c>
      <c r="B22" s="2" t="s">
        <v>99</v>
      </c>
      <c r="C22" s="2" t="s">
        <v>100</v>
      </c>
      <c r="D22" s="5">
        <v>9403422179</v>
      </c>
      <c r="E22" s="2" t="s">
        <v>101</v>
      </c>
      <c r="F22" s="2" t="s">
        <v>45</v>
      </c>
      <c r="G22" s="7">
        <v>46115</v>
      </c>
      <c r="H22" s="9">
        <v>23979</v>
      </c>
      <c r="I22" s="2" t="s">
        <v>25</v>
      </c>
      <c r="J22" s="2" t="str">
        <f>TRIM(LOWER(customer_data!$C22))</f>
        <v>aditya.menon21@example.com</v>
      </c>
      <c r="K22" s="2" t="str">
        <f>TRIM(PROPER(customer_data!$B22))</f>
        <v>Aditya Menon</v>
      </c>
      <c r="L22" s="2">
        <f>COUNTIF($J$2:$J$36, J22)</f>
        <v>1</v>
      </c>
      <c r="M22" s="12">
        <f>COUNTIF($K$2:$K$36, K22)</f>
        <v>1</v>
      </c>
      <c r="N22" s="12" t="str">
        <f t="shared" si="0"/>
        <v>OK</v>
      </c>
      <c r="O22" s="12" t="str">
        <f t="shared" si="1"/>
        <v>Jaipur</v>
      </c>
      <c r="P22" s="12">
        <v>9403422179</v>
      </c>
      <c r="Q22" s="4">
        <f t="shared" si="2"/>
        <v>1</v>
      </c>
    </row>
    <row r="23" spans="1:17" x14ac:dyDescent="0.25">
      <c r="A23" s="3" t="s">
        <v>91</v>
      </c>
      <c r="B23" s="3" t="s">
        <v>92</v>
      </c>
      <c r="C23" s="3" t="s">
        <v>93</v>
      </c>
      <c r="D23" s="6">
        <v>9256982268</v>
      </c>
      <c r="E23" s="3" t="s">
        <v>89</v>
      </c>
      <c r="F23" s="3" t="s">
        <v>90</v>
      </c>
      <c r="G23" s="8">
        <v>45293</v>
      </c>
      <c r="H23" s="10">
        <v>15575</v>
      </c>
      <c r="I23" s="3" t="s">
        <v>25</v>
      </c>
      <c r="J23" s="3" t="str">
        <f>TRIM(LOWER(customer_data!$C23))</f>
        <v>diya.sharma22@example.com</v>
      </c>
      <c r="K23" s="3" t="str">
        <f>TRIM(PROPER(customer_data!$B23))</f>
        <v>Diya Sharma</v>
      </c>
      <c r="L23" s="2">
        <f>COUNTIF($J$2:$J$36, J23)</f>
        <v>1</v>
      </c>
      <c r="M23" s="12">
        <f>COUNTIF($K$2:$K$36, K23)</f>
        <v>1</v>
      </c>
      <c r="N23" s="12" t="str">
        <f t="shared" si="0"/>
        <v>OK</v>
      </c>
      <c r="O23" s="12" t="str">
        <f t="shared" si="1"/>
        <v>Bengaluru</v>
      </c>
      <c r="P23" s="12">
        <v>9256982268</v>
      </c>
      <c r="Q23" s="4">
        <f t="shared" si="2"/>
        <v>1</v>
      </c>
    </row>
    <row r="24" spans="1:17" x14ac:dyDescent="0.25">
      <c r="A24" s="2" t="s">
        <v>69</v>
      </c>
      <c r="B24" s="2" t="s">
        <v>70</v>
      </c>
      <c r="C24" s="2" t="s">
        <v>71</v>
      </c>
      <c r="D24" s="5" t="s">
        <v>133</v>
      </c>
      <c r="E24" s="2" t="s">
        <v>146</v>
      </c>
      <c r="F24" s="2" t="s">
        <v>65</v>
      </c>
      <c r="G24" s="7">
        <v>45546</v>
      </c>
      <c r="H24" s="9">
        <v>14121</v>
      </c>
      <c r="I24" s="2" t="s">
        <v>25</v>
      </c>
      <c r="J24" s="2" t="str">
        <f>TRIM(LOWER(customer_data!$C24))</f>
        <v>simran.menon23@example.com</v>
      </c>
      <c r="K24" s="2" t="str">
        <f>TRIM(PROPER(customer_data!$B24))</f>
        <v>Simran Menon</v>
      </c>
      <c r="L24" s="2">
        <f>COUNTIF($J$2:$J$36, J24)</f>
        <v>2</v>
      </c>
      <c r="M24" s="12">
        <f>COUNTIF($K$2:$K$36, K24)</f>
        <v>2</v>
      </c>
      <c r="N24" s="12" t="str">
        <f t="shared" si="0"/>
        <v>Review</v>
      </c>
      <c r="O24" s="12" t="str">
        <f t="shared" si="1"/>
        <v>Unknown</v>
      </c>
      <c r="P24" s="12" t="str">
        <v>9384054524</v>
      </c>
      <c r="Q24" s="4">
        <f t="shared" si="2"/>
        <v>2</v>
      </c>
    </row>
    <row r="25" spans="1:17" x14ac:dyDescent="0.25">
      <c r="A25" s="3" t="s">
        <v>35</v>
      </c>
      <c r="B25" s="3" t="s">
        <v>36</v>
      </c>
      <c r="C25" s="3" t="s">
        <v>145</v>
      </c>
      <c r="D25" s="6" t="s">
        <v>128</v>
      </c>
      <c r="E25" s="3" t="s">
        <v>37</v>
      </c>
      <c r="F25" s="3" t="s">
        <v>13</v>
      </c>
      <c r="G25" s="8">
        <v>45324</v>
      </c>
      <c r="H25" s="10">
        <v>37273</v>
      </c>
      <c r="I25" s="3" t="s">
        <v>32</v>
      </c>
      <c r="J25" s="3" t="str">
        <f>TRIM(LOWER(customer_data!$C25))</f>
        <v>not provided</v>
      </c>
      <c r="K25" s="3" t="str">
        <f>TRIM(PROPER(customer_data!$B25))</f>
        <v>Ananya Bhatt</v>
      </c>
      <c r="L25" s="2">
        <f>COUNTIF($J$2:$J$36, J25)</f>
        <v>6</v>
      </c>
      <c r="M25" s="12">
        <f>COUNTIF($K$2:$K$36, K25)</f>
        <v>2</v>
      </c>
      <c r="N25" s="12" t="str">
        <f t="shared" si="0"/>
        <v>Review</v>
      </c>
      <c r="O25" s="12" t="str">
        <f t="shared" si="1"/>
        <v>Hyderabad</v>
      </c>
      <c r="P25" s="12" t="str">
        <v>9917749035</v>
      </c>
      <c r="Q25" s="4">
        <f t="shared" si="2"/>
        <v>1</v>
      </c>
    </row>
    <row r="26" spans="1:17" x14ac:dyDescent="0.25">
      <c r="A26" s="2" t="s">
        <v>46</v>
      </c>
      <c r="B26" s="2" t="s">
        <v>30</v>
      </c>
      <c r="C26" s="2" t="s">
        <v>47</v>
      </c>
      <c r="D26" s="5">
        <v>9311880275</v>
      </c>
      <c r="E26" s="2" t="s">
        <v>146</v>
      </c>
      <c r="F26" s="2" t="s">
        <v>13</v>
      </c>
      <c r="G26" s="7">
        <v>45794</v>
      </c>
      <c r="H26" s="9">
        <v>25673</v>
      </c>
      <c r="I26" s="2" t="s">
        <v>32</v>
      </c>
      <c r="J26" s="2" t="str">
        <f>TRIM(LOWER(customer_data!$C26))</f>
        <v>siddharth.kapoor25@example.com</v>
      </c>
      <c r="K26" s="2" t="str">
        <f>TRIM(PROPER(customer_data!$B26))</f>
        <v>Siddharth Kapoor</v>
      </c>
      <c r="L26" s="2">
        <f>COUNTIF($J$2:$J$36, J26)</f>
        <v>1</v>
      </c>
      <c r="M26" s="12">
        <f>COUNTIF($K$2:$K$36, K26)</f>
        <v>2</v>
      </c>
      <c r="N26" s="12" t="str">
        <f t="shared" si="0"/>
        <v>Review</v>
      </c>
      <c r="O26" s="12" t="str">
        <f t="shared" si="1"/>
        <v>Unknown</v>
      </c>
      <c r="P26" s="12">
        <v>9311880275</v>
      </c>
      <c r="Q26" s="4">
        <f t="shared" si="2"/>
        <v>1</v>
      </c>
    </row>
    <row r="27" spans="1:17" x14ac:dyDescent="0.25">
      <c r="A27" s="3" t="s">
        <v>9</v>
      </c>
      <c r="B27" s="3" t="s">
        <v>10</v>
      </c>
      <c r="C27" s="3" t="s">
        <v>11</v>
      </c>
      <c r="D27" s="6" t="s">
        <v>148</v>
      </c>
      <c r="E27" s="3" t="s">
        <v>12</v>
      </c>
      <c r="F27" s="3" t="s">
        <v>13</v>
      </c>
      <c r="G27" s="8">
        <v>45791</v>
      </c>
      <c r="H27" s="10">
        <v>40656</v>
      </c>
      <c r="I27" s="3" t="s">
        <v>14</v>
      </c>
      <c r="J27" s="3" t="str">
        <f>TRIM(LOWER(customer_data!$C27))</f>
        <v>arjun.menon26@example.com</v>
      </c>
      <c r="K27" s="3" t="str">
        <f>TRIM(PROPER(customer_data!$B27))</f>
        <v>Arjun Menon</v>
      </c>
      <c r="L27" s="2">
        <f>COUNTIF($J$2:$J$36, J27)</f>
        <v>1</v>
      </c>
      <c r="M27" s="12">
        <f>COUNTIF($K$2:$K$36, K27)</f>
        <v>1</v>
      </c>
      <c r="N27" s="12" t="str">
        <f t="shared" si="0"/>
        <v>OK</v>
      </c>
      <c r="O27" s="12" t="str">
        <f t="shared" si="1"/>
        <v>Hyderabad</v>
      </c>
      <c r="P27" s="12" t="str">
        <v>NotProvided</v>
      </c>
      <c r="Q27" s="4">
        <f t="shared" si="2"/>
        <v>6</v>
      </c>
    </row>
    <row r="28" spans="1:17" x14ac:dyDescent="0.25">
      <c r="A28" s="2" t="s">
        <v>26</v>
      </c>
      <c r="B28" s="2" t="s">
        <v>27</v>
      </c>
      <c r="C28" s="2" t="s">
        <v>28</v>
      </c>
      <c r="D28" s="5">
        <v>9561072854</v>
      </c>
      <c r="E28" s="2" t="s">
        <v>17</v>
      </c>
      <c r="F28" s="2" t="s">
        <v>18</v>
      </c>
      <c r="G28" s="7">
        <v>46084</v>
      </c>
      <c r="H28" s="9">
        <v>22745</v>
      </c>
      <c r="I28" s="2" t="s">
        <v>14</v>
      </c>
      <c r="J28" s="2" t="str">
        <f>TRIM(LOWER(customer_data!$C28))</f>
        <v>rohan.kapoor27@example.com</v>
      </c>
      <c r="K28" s="2" t="str">
        <f>TRIM(PROPER(customer_data!$B28))</f>
        <v>Rohan Kapoor</v>
      </c>
      <c r="L28" s="2">
        <f>COUNTIF($J$2:$J$36, J28)</f>
        <v>1</v>
      </c>
      <c r="M28" s="12">
        <f>COUNTIF($K$2:$K$36, K28)</f>
        <v>1</v>
      </c>
      <c r="N28" s="12" t="str">
        <f t="shared" si="0"/>
        <v>OK</v>
      </c>
      <c r="O28" s="12" t="str">
        <f t="shared" si="1"/>
        <v>Ahmedabad</v>
      </c>
      <c r="P28" s="12">
        <v>9561072854</v>
      </c>
      <c r="Q28" s="4">
        <f t="shared" si="2"/>
        <v>1</v>
      </c>
    </row>
    <row r="29" spans="1:17" x14ac:dyDescent="0.25">
      <c r="A29" s="3" t="s">
        <v>62</v>
      </c>
      <c r="B29" s="3" t="s">
        <v>63</v>
      </c>
      <c r="C29" s="3" t="s">
        <v>64</v>
      </c>
      <c r="D29" s="6" t="s">
        <v>131</v>
      </c>
      <c r="E29" s="3" t="s">
        <v>65</v>
      </c>
      <c r="F29" s="3" t="s">
        <v>65</v>
      </c>
      <c r="G29" s="8">
        <v>45497</v>
      </c>
      <c r="H29" s="10">
        <v>4075</v>
      </c>
      <c r="I29" s="3" t="s">
        <v>32</v>
      </c>
      <c r="J29" s="3" t="str">
        <f>TRIM(LOWER(customer_data!$C29))</f>
        <v>sneha.chauhan28@example.com</v>
      </c>
      <c r="K29" s="3" t="str">
        <f>TRIM(PROPER(customer_data!$B29))</f>
        <v>Sneha Chauhan</v>
      </c>
      <c r="L29" s="2">
        <f>COUNTIF($J$2:$J$36, J29)</f>
        <v>1</v>
      </c>
      <c r="M29" s="12">
        <f>COUNTIF($K$2:$K$36, K29)</f>
        <v>1</v>
      </c>
      <c r="N29" s="12" t="str">
        <f t="shared" si="0"/>
        <v>OK</v>
      </c>
      <c r="O29" s="12" t="str">
        <f t="shared" si="1"/>
        <v>Delhi</v>
      </c>
      <c r="P29" s="12" t="str">
        <v>9210859664</v>
      </c>
      <c r="Q29" s="4">
        <f t="shared" si="2"/>
        <v>1</v>
      </c>
    </row>
    <row r="30" spans="1:17" x14ac:dyDescent="0.25">
      <c r="A30" s="2" t="s">
        <v>51</v>
      </c>
      <c r="B30" s="2" t="s">
        <v>52</v>
      </c>
      <c r="C30" s="2" t="s">
        <v>53</v>
      </c>
      <c r="D30" s="5" t="s">
        <v>130</v>
      </c>
      <c r="E30" s="2" t="s">
        <v>17</v>
      </c>
      <c r="F30" s="2" t="s">
        <v>18</v>
      </c>
      <c r="G30" s="7">
        <v>45420</v>
      </c>
      <c r="H30" s="9">
        <v>36196</v>
      </c>
      <c r="I30" s="2" t="s">
        <v>19</v>
      </c>
      <c r="J30" s="2" t="str">
        <f>TRIM(LOWER(customer_data!$C30))</f>
        <v>meera.reddy29@example.com</v>
      </c>
      <c r="K30" s="2" t="str">
        <f>TRIM(PROPER(customer_data!$B30))</f>
        <v>Meera Reddy</v>
      </c>
      <c r="L30" s="2">
        <f>COUNTIF($J$2:$J$36, J30)</f>
        <v>1</v>
      </c>
      <c r="M30" s="12">
        <f>COUNTIF($K$2:$K$36, K30)</f>
        <v>1</v>
      </c>
      <c r="N30" s="12" t="str">
        <f t="shared" si="0"/>
        <v>OK</v>
      </c>
      <c r="O30" s="12" t="str">
        <f t="shared" si="1"/>
        <v>Ahmedabad</v>
      </c>
      <c r="P30" s="12" t="str">
        <v>9622942419</v>
      </c>
      <c r="Q30" s="4">
        <f t="shared" si="2"/>
        <v>1</v>
      </c>
    </row>
    <row r="31" spans="1:17" x14ac:dyDescent="0.25">
      <c r="A31" s="3" t="s">
        <v>94</v>
      </c>
      <c r="B31" s="3" t="s">
        <v>95</v>
      </c>
      <c r="C31" s="3" t="s">
        <v>145</v>
      </c>
      <c r="D31" s="6">
        <v>9214210330</v>
      </c>
      <c r="E31" s="3" t="s">
        <v>23</v>
      </c>
      <c r="F31" s="3" t="s">
        <v>24</v>
      </c>
      <c r="G31" s="8">
        <v>46012</v>
      </c>
      <c r="H31" s="10">
        <v>24656</v>
      </c>
      <c r="I31" s="3" t="s">
        <v>19</v>
      </c>
      <c r="J31" s="3" t="str">
        <f>TRIM(LOWER(customer_data!$C31))</f>
        <v>not provided</v>
      </c>
      <c r="K31" s="3" t="str">
        <f>TRIM(PROPER(customer_data!$B31))</f>
        <v>Vivaan Chauhan</v>
      </c>
      <c r="L31" s="2">
        <f>COUNTIF($J$2:$J$36, J31)</f>
        <v>6</v>
      </c>
      <c r="M31" s="12">
        <f>COUNTIF($K$2:$K$36, K31)</f>
        <v>1</v>
      </c>
      <c r="N31" s="12" t="str">
        <f t="shared" si="0"/>
        <v>Review</v>
      </c>
      <c r="O31" s="12" t="str">
        <f t="shared" si="1"/>
        <v>Chennai</v>
      </c>
      <c r="P31" s="12">
        <v>9214210330</v>
      </c>
      <c r="Q31" s="4">
        <f t="shared" si="2"/>
        <v>1</v>
      </c>
    </row>
    <row r="32" spans="1:17" x14ac:dyDescent="0.25">
      <c r="A32" s="2" t="s">
        <v>112</v>
      </c>
      <c r="B32" s="2" t="s">
        <v>113</v>
      </c>
      <c r="C32" s="2" t="s">
        <v>22</v>
      </c>
      <c r="D32" s="5">
        <v>9227130570</v>
      </c>
      <c r="E32" s="2" t="s">
        <v>23</v>
      </c>
      <c r="F32" s="2" t="s">
        <v>24</v>
      </c>
      <c r="G32" s="7">
        <v>45520</v>
      </c>
      <c r="H32" s="9">
        <v>21186</v>
      </c>
      <c r="I32" s="2" t="s">
        <v>25</v>
      </c>
      <c r="J32" s="2" t="str">
        <f>TRIM(LOWER(customer_data!$C32))</f>
        <v>arjun.chauhan3@example.com</v>
      </c>
      <c r="K32" s="2" t="str">
        <f>TRIM(PROPER(customer_data!$B32))</f>
        <v>Arjun Chauhan</v>
      </c>
      <c r="L32" s="2">
        <f>COUNTIF($J$2:$J$36, J32)</f>
        <v>2</v>
      </c>
      <c r="M32" s="12">
        <f>COUNTIF($K$2:$K$36, K32)</f>
        <v>2</v>
      </c>
      <c r="N32" s="12" t="str">
        <f t="shared" si="0"/>
        <v>Review</v>
      </c>
      <c r="O32" s="12" t="str">
        <f t="shared" si="1"/>
        <v>Chennai</v>
      </c>
      <c r="P32" s="12">
        <v>9227130570</v>
      </c>
      <c r="Q32" s="4">
        <f t="shared" si="2"/>
        <v>2</v>
      </c>
    </row>
    <row r="33" spans="1:35" x14ac:dyDescent="0.25">
      <c r="A33" s="3" t="s">
        <v>96</v>
      </c>
      <c r="B33" s="3" t="s">
        <v>97</v>
      </c>
      <c r="C33" s="3" t="s">
        <v>71</v>
      </c>
      <c r="D33" s="6">
        <v>9384054524</v>
      </c>
      <c r="E33" s="3" t="s">
        <v>65</v>
      </c>
      <c r="F33" s="3" t="s">
        <v>65</v>
      </c>
      <c r="G33" s="8">
        <v>45546</v>
      </c>
      <c r="H33" s="10">
        <v>14121</v>
      </c>
      <c r="I33" s="3" t="s">
        <v>25</v>
      </c>
      <c r="J33" s="3" t="str">
        <f>TRIM(LOWER(customer_data!$C33))</f>
        <v>simran.menon23@example.com</v>
      </c>
      <c r="K33" s="3" t="str">
        <f>TRIM(PROPER(customer_data!$B33))</f>
        <v>Simran Menon</v>
      </c>
      <c r="L33" s="2">
        <f>COUNTIF($J$2:$J$36, J33)</f>
        <v>2</v>
      </c>
      <c r="M33" s="12">
        <f>COUNTIF($K$2:$K$36, K33)</f>
        <v>2</v>
      </c>
      <c r="N33" s="12" t="str">
        <f t="shared" si="0"/>
        <v>Review</v>
      </c>
      <c r="O33" s="12" t="str">
        <f t="shared" si="1"/>
        <v>Delhi</v>
      </c>
      <c r="P33" s="12">
        <v>9384054524</v>
      </c>
      <c r="Q33" s="4">
        <f t="shared" si="2"/>
        <v>2</v>
      </c>
    </row>
    <row r="34" spans="1:35" x14ac:dyDescent="0.25">
      <c r="A34" s="2" t="s">
        <v>108</v>
      </c>
      <c r="B34" s="2" t="s">
        <v>109</v>
      </c>
      <c r="C34" s="2" t="s">
        <v>88</v>
      </c>
      <c r="D34" s="5">
        <v>9394263945</v>
      </c>
      <c r="E34" s="2" t="s">
        <v>89</v>
      </c>
      <c r="F34" s="2" t="s">
        <v>90</v>
      </c>
      <c r="G34" s="7">
        <v>46166</v>
      </c>
      <c r="H34" s="9">
        <v>25526</v>
      </c>
      <c r="I34" s="2" t="s">
        <v>19</v>
      </c>
      <c r="J34" s="2" t="str">
        <f>TRIM(LOWER(customer_data!$C34))</f>
        <v>aarav.verma6@example.com</v>
      </c>
      <c r="K34" s="2" t="str">
        <f>TRIM(PROPER(customer_data!$B34))</f>
        <v>Aarav Verma</v>
      </c>
      <c r="L34" s="2">
        <f>COUNTIF($J$2:$J$36, J34)</f>
        <v>2</v>
      </c>
      <c r="M34" s="12">
        <f>COUNTIF($K$2:$K$36, K34)</f>
        <v>2</v>
      </c>
      <c r="N34" s="12" t="str">
        <f t="shared" si="0"/>
        <v>Review</v>
      </c>
      <c r="O34" s="12" t="str">
        <f t="shared" si="1"/>
        <v>Bengaluru</v>
      </c>
      <c r="P34" s="12">
        <v>9394263945</v>
      </c>
      <c r="Q34" s="4">
        <f t="shared" si="2"/>
        <v>2</v>
      </c>
    </row>
    <row r="35" spans="1:35" x14ac:dyDescent="0.25">
      <c r="A35" s="3" t="s">
        <v>54</v>
      </c>
      <c r="B35" s="3" t="s">
        <v>55</v>
      </c>
      <c r="C35" s="3" t="s">
        <v>56</v>
      </c>
      <c r="D35" s="6">
        <v>9222271940</v>
      </c>
      <c r="E35" s="3" t="s">
        <v>44</v>
      </c>
      <c r="F35" s="3" t="s">
        <v>45</v>
      </c>
      <c r="G35" s="8">
        <v>45892</v>
      </c>
      <c r="H35" s="10">
        <v>6593</v>
      </c>
      <c r="I35" s="3" t="s">
        <v>19</v>
      </c>
      <c r="J35" s="3" t="str">
        <f>TRIM(LOWER(customer_data!$C35))</f>
        <v>anika.gupta12@example.com</v>
      </c>
      <c r="K35" s="3" t="str">
        <f>TRIM(PROPER(customer_data!$B35))</f>
        <v>Anika Gupta</v>
      </c>
      <c r="L35" s="2">
        <f>COUNTIF($J$2:$J$36, J35)</f>
        <v>1</v>
      </c>
      <c r="M35" s="12">
        <f>COUNTIF($K$2:$K$36, K35)</f>
        <v>2</v>
      </c>
      <c r="N35" s="12" t="str">
        <f t="shared" si="0"/>
        <v>Review</v>
      </c>
      <c r="O35" s="12" t="str">
        <f t="shared" si="1"/>
        <v>Jaipur</v>
      </c>
      <c r="P35" s="12">
        <v>9222271940</v>
      </c>
      <c r="Q35" s="4">
        <f t="shared" si="2"/>
        <v>2</v>
      </c>
    </row>
    <row r="36" spans="1:35" x14ac:dyDescent="0.25">
      <c r="A36" s="2" t="s">
        <v>33</v>
      </c>
      <c r="B36" s="2" t="s">
        <v>16</v>
      </c>
      <c r="C36" s="2" t="s">
        <v>34</v>
      </c>
      <c r="D36" s="5">
        <v>9353685823</v>
      </c>
      <c r="E36" s="2" t="s">
        <v>17</v>
      </c>
      <c r="F36" s="2" t="s">
        <v>18</v>
      </c>
      <c r="G36" s="7">
        <v>46178</v>
      </c>
      <c r="H36" s="9">
        <v>40828</v>
      </c>
      <c r="I36" s="2" t="s">
        <v>19</v>
      </c>
      <c r="J36" s="2" t="str">
        <f>TRIM(LOWER(customer_data!$C36))</f>
        <v>pooja.gupta15@example.com</v>
      </c>
      <c r="K36" s="2" t="str">
        <f>TRIM(PROPER(customer_data!$B36))</f>
        <v>Pooja Gupta</v>
      </c>
      <c r="L36" s="2">
        <f>COUNTIF($J$2:$J$36, J36)</f>
        <v>1</v>
      </c>
      <c r="M36" s="12">
        <f>COUNTIF($K$2:$K$36, K36)</f>
        <v>2</v>
      </c>
      <c r="N36" s="12" t="str">
        <f t="shared" si="0"/>
        <v>Review</v>
      </c>
      <c r="O36" s="12" t="str">
        <f t="shared" si="1"/>
        <v>Ahmedabad</v>
      </c>
      <c r="P36" s="12">
        <v>9353685823</v>
      </c>
      <c r="Q36" s="4">
        <f t="shared" si="2"/>
        <v>2</v>
      </c>
    </row>
    <row r="41" spans="1:35" x14ac:dyDescent="0.25">
      <c r="N41" t="s">
        <v>136</v>
      </c>
    </row>
    <row r="42" spans="1:35" x14ac:dyDescent="0.25">
      <c r="C42" s="4" t="s">
        <v>142</v>
      </c>
      <c r="D42" s="4">
        <f>COUNTBLANK(J2:J36)</f>
        <v>0</v>
      </c>
      <c r="N42" s="11" t="s">
        <v>135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1:35" x14ac:dyDescent="0.25">
      <c r="C43" s="4" t="s">
        <v>144</v>
      </c>
      <c r="D43" s="4">
        <f>COUNTBLANK(D2:D36)</f>
        <v>0</v>
      </c>
    </row>
    <row r="44" spans="1:35" x14ac:dyDescent="0.25">
      <c r="C44" s="4" t="s">
        <v>143</v>
      </c>
      <c r="D44" s="4">
        <f>COUNTBLANK(E2:E36)</f>
        <v>0</v>
      </c>
    </row>
    <row r="45" spans="1:35" x14ac:dyDescent="0.25">
      <c r="C45" s="16" t="s">
        <v>149</v>
      </c>
      <c r="D45" s="16"/>
    </row>
  </sheetData>
  <mergeCells count="2">
    <mergeCell ref="N42:AI42"/>
    <mergeCell ref="C45:D45"/>
  </mergeCells>
  <conditionalFormatting sqref="A2:Q36">
    <cfRule type="expression" dxfId="0" priority="1">
      <formula>$N2="Review"</formula>
    </cfRule>
  </conditionalFormatting>
  <pageMargins left="0.7" right="0.7" top="0.75" bottom="0.75" header="0.3" footer="0.3"/>
  <ignoredErrors>
    <ignoredError sqref="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D5E6-29C1-40EC-8D22-4B3505C5B939}">
  <dimension ref="A2:E14"/>
  <sheetViews>
    <sheetView workbookViewId="0">
      <selection activeCell="E15" sqref="E15"/>
    </sheetView>
  </sheetViews>
  <sheetFormatPr defaultRowHeight="15" x14ac:dyDescent="0.25"/>
  <cols>
    <col min="2" max="2" width="17.85546875" customWidth="1"/>
    <col min="4" max="4" width="24.28515625" bestFit="1" customWidth="1"/>
    <col min="5" max="5" width="14.28515625" bestFit="1" customWidth="1"/>
  </cols>
  <sheetData>
    <row r="2" spans="1:5" x14ac:dyDescent="0.25">
      <c r="A2" s="1" t="s">
        <v>150</v>
      </c>
      <c r="B2" s="1"/>
    </row>
    <row r="3" spans="1:5" x14ac:dyDescent="0.25">
      <c r="A3" s="1"/>
      <c r="B3" s="1"/>
    </row>
    <row r="6" spans="1:5" x14ac:dyDescent="0.25">
      <c r="D6" t="s">
        <v>151</v>
      </c>
      <c r="E6" t="s">
        <v>152</v>
      </c>
    </row>
    <row r="7" spans="1:5" x14ac:dyDescent="0.25">
      <c r="D7" t="s">
        <v>153</v>
      </c>
      <c r="E7">
        <v>40</v>
      </c>
    </row>
    <row r="8" spans="1:5" x14ac:dyDescent="0.25">
      <c r="D8" t="s">
        <v>154</v>
      </c>
      <c r="E8">
        <f>E7-COUNTA(customer_data!A2:A36)</f>
        <v>5</v>
      </c>
    </row>
    <row r="9" spans="1:5" x14ac:dyDescent="0.25">
      <c r="D9" t="s">
        <v>155</v>
      </c>
      <c r="E9">
        <f>E7-E8</f>
        <v>35</v>
      </c>
    </row>
    <row r="10" spans="1:5" x14ac:dyDescent="0.25">
      <c r="D10" t="s">
        <v>156</v>
      </c>
      <c r="E10">
        <f>COUNTA(customer_data!A2:A36)</f>
        <v>35</v>
      </c>
    </row>
    <row r="11" spans="1:5" x14ac:dyDescent="0.25">
      <c r="D11" t="s">
        <v>157</v>
      </c>
      <c r="E11">
        <f>COUNTIF(customer_data!J2:J36, "not provided")</f>
        <v>6</v>
      </c>
    </row>
    <row r="12" spans="1:5" x14ac:dyDescent="0.25">
      <c r="D12" t="s">
        <v>158</v>
      </c>
      <c r="E12">
        <f>COUNTIF(customer_data!D2:D36, "NotProvided")</f>
        <v>6</v>
      </c>
    </row>
    <row r="13" spans="1:5" x14ac:dyDescent="0.25">
      <c r="D13" t="s">
        <v>159</v>
      </c>
      <c r="E13">
        <f>COUNTIF(customer_data!E2:E36, "Unknown")</f>
        <v>4</v>
      </c>
    </row>
    <row r="14" spans="1:5" x14ac:dyDescent="0.25">
      <c r="D14" t="s">
        <v>160</v>
      </c>
      <c r="E14">
        <f>COUNTIF(customer_data!H2:H36, "&lt;0" )</f>
        <v>2</v>
      </c>
    </row>
  </sheetData>
  <mergeCells count="1">
    <mergeCell ref="A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C557-B756-4D73-80B1-C78C919104EA}">
  <dimension ref="A1:C9"/>
  <sheetViews>
    <sheetView showGridLines="0" workbookViewId="0">
      <selection activeCell="O11" sqref="O11"/>
    </sheetView>
  </sheetViews>
  <sheetFormatPr defaultRowHeight="15" x14ac:dyDescent="0.25"/>
  <cols>
    <col min="1" max="1" width="12.42578125" bestFit="1" customWidth="1"/>
    <col min="2" max="2" width="15.140625" bestFit="1" customWidth="1"/>
    <col min="3" max="3" width="14.28515625" bestFit="1" customWidth="1"/>
  </cols>
  <sheetData>
    <row r="1" spans="1:3" x14ac:dyDescent="0.25">
      <c r="A1" s="15" t="s">
        <v>5</v>
      </c>
      <c r="B1" s="15" t="s">
        <v>163</v>
      </c>
      <c r="C1" s="15" t="s">
        <v>164</v>
      </c>
    </row>
    <row r="2" spans="1:3" x14ac:dyDescent="0.25">
      <c r="A2" s="4" t="s">
        <v>45</v>
      </c>
      <c r="B2" s="4">
        <f>COUNTIF(customer_data!$F$2:$F$36,A2)</f>
        <v>8</v>
      </c>
      <c r="C2" s="4">
        <f>SUMIF(customer_data!$F$2:$F$36,A2,customer_data!$H$2:$H$36)</f>
        <v>121309</v>
      </c>
    </row>
    <row r="3" spans="1:3" x14ac:dyDescent="0.25">
      <c r="A3" s="4" t="s">
        <v>18</v>
      </c>
      <c r="B3" s="4">
        <f>COUNTIF(customer_data!$F$2:$F$36,A3)</f>
        <v>7</v>
      </c>
      <c r="C3" s="4">
        <f>SUMIF(customer_data!$F$2:$F$36,A3,customer_data!$H$2:$H$36)</f>
        <v>131809</v>
      </c>
    </row>
    <row r="4" spans="1:3" x14ac:dyDescent="0.25">
      <c r="A4" s="4" t="s">
        <v>24</v>
      </c>
      <c r="B4" s="4">
        <f>COUNTIF(customer_data!$F$2:$F$36,A4)</f>
        <v>5</v>
      </c>
      <c r="C4" s="4">
        <f>SUMIF(customer_data!$F$2:$F$36,A4,customer_data!$H$2:$H$36)</f>
        <v>110764</v>
      </c>
    </row>
    <row r="5" spans="1:3" x14ac:dyDescent="0.25">
      <c r="A5" s="4" t="s">
        <v>90</v>
      </c>
      <c r="B5" s="4">
        <f>COUNTIF(customer_data!$F$2:$F$36,A5)</f>
        <v>4</v>
      </c>
      <c r="C5" s="4">
        <f>SUMIF(customer_data!$F$2:$F$36,A5,customer_data!$H$2:$H$36)</f>
        <v>68777</v>
      </c>
    </row>
    <row r="6" spans="1:3" x14ac:dyDescent="0.25">
      <c r="A6" s="4" t="s">
        <v>78</v>
      </c>
      <c r="B6" s="4">
        <f>COUNTIF(customer_data!$F$2:$F$36,A6)</f>
        <v>2</v>
      </c>
      <c r="C6" s="4">
        <f>SUMIF(customer_data!$F$2:$F$36,A6,customer_data!$H$2:$H$36)</f>
        <v>81981</v>
      </c>
    </row>
    <row r="7" spans="1:3" x14ac:dyDescent="0.25">
      <c r="A7" s="4" t="s">
        <v>13</v>
      </c>
      <c r="B7" s="4">
        <f>COUNTIF(customer_data!$F$2:$F$36,A7)</f>
        <v>4</v>
      </c>
      <c r="C7" s="4">
        <f>SUMIF(customer_data!$F$2:$F$36,A7,customer_data!$H$2:$H$36)</f>
        <v>110306</v>
      </c>
    </row>
    <row r="8" spans="1:3" x14ac:dyDescent="0.25">
      <c r="A8" s="4" t="s">
        <v>61</v>
      </c>
      <c r="B8" s="4">
        <f>COUNTIF(customer_data!$F$2:$F$36,A8)</f>
        <v>2</v>
      </c>
      <c r="C8" s="4">
        <f>SUMIF(customer_data!$F$2:$F$36,A8,customer_data!$H$2:$H$36)</f>
        <v>-4854</v>
      </c>
    </row>
    <row r="9" spans="1:3" x14ac:dyDescent="0.25">
      <c r="A9" s="4" t="s">
        <v>65</v>
      </c>
      <c r="B9" s="4">
        <f>COUNTIF(customer_data!$F$2:$F$36,A9)</f>
        <v>3</v>
      </c>
      <c r="C9" s="4">
        <f>SUMIF(customer_data!$F$2:$F$36,A9,customer_data!$H$2:$H$36)</f>
        <v>32317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00451-AE2A-47AC-8C43-870C0BDA61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</vt:lpstr>
      <vt:lpstr>summary</vt:lpstr>
      <vt:lpstr>state_summary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MISHRA - 70522500010</cp:lastModifiedBy>
  <dcterms:created xsi:type="dcterms:W3CDTF">2026-08-11T14:50:31Z</dcterms:created>
  <dcterms:modified xsi:type="dcterms:W3CDTF">2026-08-11T16:10:42Z</dcterms:modified>
</cp:coreProperties>
</file>