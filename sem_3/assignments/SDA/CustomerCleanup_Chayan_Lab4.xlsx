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mainframe\vault\sem_3\assignments\SDA\"/>
    </mc:Choice>
  </mc:AlternateContent>
  <xr:revisionPtr revIDLastSave="0" documentId="13_ncr:1_{92AB8DAD-C927-480B-A33F-D9D82ACBE256}" xr6:coauthVersionLast="47" xr6:coauthVersionMax="47" xr10:uidLastSave="{00000000-0000-0000-0000-000000000000}"/>
  <bookViews>
    <workbookView xWindow="-120" yWindow="-120" windowWidth="29040" windowHeight="15720" xr2:uid="{32266424-75D2-420C-98EF-05F339009423}"/>
  </bookViews>
  <sheets>
    <sheet name="customer_data" sheetId="2" r:id="rId1"/>
    <sheet name="Summary" sheetId="1" r:id="rId2"/>
  </sheets>
  <definedNames>
    <definedName name="ExternalData_1" localSheetId="0" hidden="1">'customer_data'!$A$1:$I$31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2" l="1"/>
  <c r="C35" i="2"/>
  <c r="B4" i="1"/>
  <c r="M15" i="2"/>
  <c r="M14" i="2"/>
  <c r="N15" i="2"/>
  <c r="O15" i="2" s="1"/>
  <c r="J15" i="2" s="1"/>
  <c r="L15" i="2"/>
  <c r="K15" i="2"/>
  <c r="B8" i="1"/>
  <c r="B7" i="1"/>
  <c r="B6" i="1"/>
  <c r="B5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D35" i="2"/>
  <c r="N3" i="2"/>
  <c r="O3" i="2" s="1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2" i="2"/>
  <c r="O2" i="2" s="1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2" i="2"/>
  <c r="M2" i="2" s="1"/>
  <c r="J8" i="2" l="1"/>
  <c r="J18" i="2"/>
  <c r="J5" i="2"/>
  <c r="J28" i="2"/>
  <c r="J16" i="2"/>
  <c r="J4" i="2"/>
  <c r="J27" i="2"/>
  <c r="J31" i="2"/>
  <c r="J26" i="2"/>
  <c r="J23" i="2"/>
  <c r="J17" i="2"/>
  <c r="J6" i="2"/>
  <c r="J24" i="2"/>
  <c r="J13" i="2"/>
  <c r="J30" i="2"/>
  <c r="J10" i="2"/>
  <c r="J20" i="2"/>
  <c r="J21" i="2"/>
  <c r="J11" i="2"/>
  <c r="J2" i="2"/>
  <c r="J22" i="2"/>
  <c r="J12" i="2"/>
  <c r="J14" i="2"/>
  <c r="J3" i="2"/>
  <c r="J29" i="2"/>
  <c r="J25" i="2"/>
  <c r="J19" i="2"/>
  <c r="J9" i="2"/>
  <c r="J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7A1F5-8B58-4F94-85C0-9E64EDA7CAF7}" keepAlive="1" name="Query - customer_data" description="Connection to the 'customer_data' query in the workbook." type="5" refreshedVersion="7" background="1" saveData="1">
    <dbPr connection="Provider=Microsoft.Mashup.OleDb.1;Data Source=$Workbook$;Location=customer_data;Extended Properties=&quot;&quot;" command="SELECT * FROM [customer_data]"/>
  </connection>
</connections>
</file>

<file path=xl/sharedStrings.xml><?xml version="1.0" encoding="utf-8"?>
<sst xmlns="http://schemas.openxmlformats.org/spreadsheetml/2006/main" count="220" uniqueCount="144">
  <si>
    <t>Customer ID</t>
  </si>
  <si>
    <t>Full Name</t>
  </si>
  <si>
    <t>Email</t>
  </si>
  <si>
    <t>Phone</t>
  </si>
  <si>
    <t>City</t>
  </si>
  <si>
    <t>State</t>
  </si>
  <si>
    <t>Signup Date</t>
  </si>
  <si>
    <t>Total Purchases</t>
  </si>
  <si>
    <t>Membership Tier</t>
  </si>
  <si>
    <t>Review ?</t>
  </si>
  <si>
    <t>City(Cleaned</t>
  </si>
  <si>
    <t>Email(Normalized)</t>
  </si>
  <si>
    <t>E-mail Match Count</t>
  </si>
  <si>
    <t>Name (Normalized)</t>
  </si>
  <si>
    <t>Name Match Count</t>
  </si>
  <si>
    <t>CUST0001</t>
  </si>
  <si>
    <t>Diya Rao</t>
  </si>
  <si>
    <t>diya.rao1@example.com</t>
  </si>
  <si>
    <t>Jaipur</t>
  </si>
  <si>
    <t>Rajasthan</t>
  </si>
  <si>
    <t>Gold</t>
  </si>
  <si>
    <t>CUST0002</t>
  </si>
  <si>
    <t>Ananya Bhatt</t>
  </si>
  <si>
    <t>ananya.bhatt2@example.com</t>
  </si>
  <si>
    <t>Ahmedabad</t>
  </si>
  <si>
    <t>Gujarat</t>
  </si>
  <si>
    <t>Platinum</t>
  </si>
  <si>
    <t>CUST0003</t>
  </si>
  <si>
    <t>Arjun Chauhan</t>
  </si>
  <si>
    <t>arjun.chauhan3@example.com</t>
  </si>
  <si>
    <t>9227130570</t>
  </si>
  <si>
    <t>Chennai</t>
  </si>
  <si>
    <t>Tamil Nadu</t>
  </si>
  <si>
    <t>CUST0004</t>
  </si>
  <si>
    <t>Isha Reddy</t>
  </si>
  <si>
    <t>isha.reddy4@example.com</t>
  </si>
  <si>
    <t>CUST0005</t>
  </si>
  <si>
    <t>Ishaan Sharma</t>
  </si>
  <si>
    <t>ishaan.sharma5@example.com</t>
  </si>
  <si>
    <t>PUNE</t>
  </si>
  <si>
    <t>Maharashtra</t>
  </si>
  <si>
    <t>CUST0006</t>
  </si>
  <si>
    <t>Aarav Verma</t>
  </si>
  <si>
    <t>aarav.verma6@example.com</t>
  </si>
  <si>
    <t>Bengaluru</t>
  </si>
  <si>
    <t>Karnataka</t>
  </si>
  <si>
    <t>CUST0007</t>
  </si>
  <si>
    <t>Aditya Das</t>
  </si>
  <si>
    <t>aditya.das7@example.com</t>
  </si>
  <si>
    <t>Bronze</t>
  </si>
  <si>
    <t>CUST0008</t>
  </si>
  <si>
    <t>Aditya Rao</t>
  </si>
  <si>
    <t>aditya.rao8@example.com</t>
  </si>
  <si>
    <t>9784421408</t>
  </si>
  <si>
    <t>Hyderabad</t>
  </si>
  <si>
    <t>Telangana</t>
  </si>
  <si>
    <t>CUST0009</t>
  </si>
  <si>
    <t>Siddharth Kapoor</t>
  </si>
  <si>
    <t>siddharth.kapoor9@example.com</t>
  </si>
  <si>
    <t>Silver</t>
  </si>
  <si>
    <t>CUST0010</t>
  </si>
  <si>
    <t>Pooja Chauhan</t>
  </si>
  <si>
    <t>CUST0011</t>
  </si>
  <si>
    <t>Nikhil Verma</t>
  </si>
  <si>
    <t>CHENNAI</t>
  </si>
  <si>
    <t>CUST0013</t>
  </si>
  <si>
    <t>Pooja Kapoor</t>
  </si>
  <si>
    <t>pooja.kapoor13@example.com</t>
  </si>
  <si>
    <t>9280788920</t>
  </si>
  <si>
    <t>CUST0014</t>
  </si>
  <si>
    <t>Pooja Das</t>
  </si>
  <si>
    <t>pooja.das14@example.com</t>
  </si>
  <si>
    <t>Kolkata</t>
  </si>
  <si>
    <t>West Bengal</t>
  </si>
  <si>
    <t>CUST0017</t>
  </si>
  <si>
    <t>Aarav Joshi</t>
  </si>
  <si>
    <t>aarav.joshi17@example.com</t>
  </si>
  <si>
    <t>9856873800</t>
  </si>
  <si>
    <t>CUST0018</t>
  </si>
  <si>
    <t>Devansh Rao</t>
  </si>
  <si>
    <t>devansh.rao18@example.com</t>
  </si>
  <si>
    <t>CUST0019</t>
  </si>
  <si>
    <t>Siddharth Patel</t>
  </si>
  <si>
    <t>siddharth.patel19@example.com</t>
  </si>
  <si>
    <t>CUST0020</t>
  </si>
  <si>
    <t>Arjun Verma</t>
  </si>
  <si>
    <t>arjun.verma20@example.com</t>
  </si>
  <si>
    <t>bengaluru</t>
  </si>
  <si>
    <t>CUST0021</t>
  </si>
  <si>
    <t>Aditya Menon</t>
  </si>
  <si>
    <t>aditya.menon21@example.com</t>
  </si>
  <si>
    <t>jaipur</t>
  </si>
  <si>
    <t>CUST0022</t>
  </si>
  <si>
    <t>Diya Sharma</t>
  </si>
  <si>
    <t>diya.sharma22@example.com</t>
  </si>
  <si>
    <t>CUST0023</t>
  </si>
  <si>
    <t>Simran Menon</t>
  </si>
  <si>
    <t>simran.menon23@example.com</t>
  </si>
  <si>
    <t>9384054524</t>
  </si>
  <si>
    <t>Delhi</t>
  </si>
  <si>
    <t>CUST0024</t>
  </si>
  <si>
    <t>9917749035</t>
  </si>
  <si>
    <t>CUST0025</t>
  </si>
  <si>
    <t>siddharth.kapoor25@example.com</t>
  </si>
  <si>
    <t>CUST0026</t>
  </si>
  <si>
    <t>Arjun Menon</t>
  </si>
  <si>
    <t>arjun.menon26@example.com</t>
  </si>
  <si>
    <t>hyderabad</t>
  </si>
  <si>
    <t>CUST0027</t>
  </si>
  <si>
    <t>Rohan Kapoor</t>
  </si>
  <si>
    <t>rohan.kapoor27@example.com</t>
  </si>
  <si>
    <t>CUST0028</t>
  </si>
  <si>
    <t>Sneha Chauhan</t>
  </si>
  <si>
    <t>sneha.chauhan28@example.com</t>
  </si>
  <si>
    <t>9210859664</t>
  </si>
  <si>
    <t>CUST0029</t>
  </si>
  <si>
    <t>Meera Reddy</t>
  </si>
  <si>
    <t>meera.reddy29@example.com</t>
  </si>
  <si>
    <t>9622942419</t>
  </si>
  <si>
    <t>CUST0030</t>
  </si>
  <si>
    <t>Vivaan Chauhan</t>
  </si>
  <si>
    <t>CUST0034</t>
  </si>
  <si>
    <t>anika.gupta12@example.com</t>
  </si>
  <si>
    <t>CUST0035</t>
  </si>
  <si>
    <t>Pooja Gupta</t>
  </si>
  <si>
    <t>POOJA.GUPTA15@EXAMPLE.COM</t>
  </si>
  <si>
    <t xml:space="preserve">Remove Duplicates removed 5 rows. </t>
  </si>
  <si>
    <t xml:space="preserve">It only removes duplicates exact </t>
  </si>
  <si>
    <t>Not Provided</t>
  </si>
  <si>
    <t>Unknown</t>
  </si>
  <si>
    <t>Total Rows Imported</t>
  </si>
  <si>
    <t>Exact Duplicates Removed</t>
  </si>
  <si>
    <t>Near Duplicates Resolved</t>
  </si>
  <si>
    <t>Final Row Count</t>
  </si>
  <si>
    <t>Blank Emails Filled</t>
  </si>
  <si>
    <t>Blank City Filled</t>
  </si>
  <si>
    <t>Invalid Purchase Values</t>
  </si>
  <si>
    <t>Blank Phone No. Filled</t>
  </si>
  <si>
    <t>CUST0016</t>
  </si>
  <si>
    <t>Aditi Rao</t>
  </si>
  <si>
    <t>aditi.rao16@example.com</t>
  </si>
  <si>
    <t>9253863931</t>
  </si>
  <si>
    <t xml:space="preserve"> Ahmedabad</t>
  </si>
  <si>
    <t>Anika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</si>
</sst>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164" fontId="0" fillId="0" borderId="0" xfId="0" applyNumberFormat="1"/>
    <xf numFmtId="49" fontId="1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164" formatCode="dd/mmm/yyyy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319345-6B98-44EA-9AB4-19922D62E448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Customer ID" tableColumnId="1"/>
      <queryTableField id="2" name="Full Name" tableColumnId="2"/>
      <queryTableField id="3" name="Email" tableColumnId="3"/>
      <queryTableField id="4" name="Phone" tableColumnId="4"/>
      <queryTableField id="5" name="City" tableColumnId="5"/>
      <queryTableField id="6" name="State" tableColumnId="6"/>
      <queryTableField id="7" name="Signup Date" tableColumnId="7"/>
      <queryTableField id="8" name="Total Purchases" tableColumnId="8"/>
      <queryTableField id="9" name="Membership Tier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3DD933-1854-4F11-B161-D9858ECB4544}" name="customer_data" displayName="customer_data" ref="A1:K31" tableType="queryTable" totalsRowShown="0">
  <autoFilter ref="A1:K31" xr:uid="{343DD933-1854-4F11-B161-D9858ECB4544}"/>
  <sortState xmlns:xlrd2="http://schemas.microsoft.com/office/spreadsheetml/2017/richdata2" ref="A2:I31">
    <sortCondition ref="A1:A31"/>
  </sortState>
  <tableColumns count="11">
    <tableColumn id="1" xr3:uid="{85EDDAFB-81CC-4989-ADA4-A83A853EE229}" uniqueName="1" name="Customer ID" queryTableFieldId="1" dataDxfId="10"/>
    <tableColumn id="2" xr3:uid="{779D19FC-5F19-4420-BE29-4D36DA1A9331}" uniqueName="2" name="Full Name" queryTableFieldId="2" dataDxfId="9"/>
    <tableColumn id="3" xr3:uid="{EB10A194-3451-4191-B3DC-105765CC5537}" uniqueName="3" name="Email" queryTableFieldId="3" dataDxfId="8"/>
    <tableColumn id="4" xr3:uid="{BA0648A9-992E-4115-9FCD-44F64298529C}" uniqueName="4" name="Phone" queryTableFieldId="4" dataDxfId="7"/>
    <tableColumn id="5" xr3:uid="{0B09E690-2AC2-4B93-B5C6-C5058F959385}" uniqueName="5" name="City" queryTableFieldId="5" dataDxfId="6"/>
    <tableColumn id="6" xr3:uid="{F3E7DEB6-898F-4CBF-9074-EF4239484655}" uniqueName="6" name="State" queryTableFieldId="6" dataDxfId="5"/>
    <tableColumn id="7" xr3:uid="{75042A5B-1E95-4FA4-970F-3591FCAEB821}" uniqueName="7" name="Signup Date" queryTableFieldId="7" dataDxfId="4"/>
    <tableColumn id="8" xr3:uid="{E5F88D94-D9A5-49F9-8B1E-C00F359BC29E}" uniqueName="8" name="Total Purchases" queryTableFieldId="8" dataDxfId="3"/>
    <tableColumn id="9" xr3:uid="{9D9FA1BF-1A74-42C6-B7F2-61274BD0DAA6}" uniqueName="9" name="Membership Tier" queryTableFieldId="9" dataDxfId="2"/>
    <tableColumn id="10" xr3:uid="{6B2A2734-5BA5-4CEB-83CD-C3244FB2094F}" uniqueName="10" name="Review ?" queryTableFieldId="10" dataDxfId="1">
      <calculatedColumnFormula>IF(OR(M2&gt;1,O2&gt;1),"Review","OK")</calculatedColumnFormula>
    </tableColumn>
    <tableColumn id="11" xr3:uid="{93EB9993-D7E9-40E1-9722-83DD82B06825}" uniqueName="11" name="City(Cleaned" queryTableFieldId="11" dataDxfId="0">
      <calculatedColumnFormula>PROPER(TRIM(customer_data[[#This Row],[City]]))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71D7-D974-4A74-9751-D43AEF05518B}">
  <dimension ref="A1:O35"/>
  <sheetViews>
    <sheetView tabSelected="1" topLeftCell="C1" zoomScale="110" zoomScaleNormal="110" workbookViewId="0">
      <pane ySplit="1" topLeftCell="A2" activePane="bottomLeft" state="frozen"/>
      <selection pane="bottomLeft" activeCell="O30" sqref="O30"/>
    </sheetView>
  </sheetViews>
  <sheetFormatPr defaultRowHeight="15" x14ac:dyDescent="0.25"/>
  <cols>
    <col min="1" max="1" width="14.140625" bestFit="1" customWidth="1"/>
    <col min="2" max="2" width="16.42578125" bestFit="1" customWidth="1"/>
    <col min="3" max="3" width="32.7109375" bestFit="1" customWidth="1"/>
    <col min="4" max="4" width="14.28515625" style="1" customWidth="1"/>
    <col min="5" max="5" width="12.140625" bestFit="1" customWidth="1"/>
    <col min="6" max="6" width="12" bestFit="1" customWidth="1"/>
    <col min="7" max="7" width="13.85546875" style="3" bestFit="1" customWidth="1"/>
    <col min="8" max="8" width="17.140625" style="5" bestFit="1" customWidth="1"/>
    <col min="9" max="9" width="18.7109375" bestFit="1" customWidth="1"/>
    <col min="11" max="11" width="12" bestFit="1" customWidth="1"/>
    <col min="12" max="12" width="32.7109375" bestFit="1" customWidth="1"/>
    <col min="13" max="13" width="18.42578125" bestFit="1" customWidth="1"/>
    <col min="14" max="14" width="18.7109375" bestFit="1" customWidth="1"/>
    <col min="15" max="15" width="18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s="3" t="s">
        <v>6</v>
      </c>
      <c r="H1" s="5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s="1" t="s">
        <v>128</v>
      </c>
      <c r="E2" t="s">
        <v>18</v>
      </c>
      <c r="F2" t="s">
        <v>19</v>
      </c>
      <c r="G2" s="3">
        <v>45544</v>
      </c>
      <c r="H2" s="5">
        <v>18267</v>
      </c>
      <c r="I2" t="s">
        <v>20</v>
      </c>
      <c r="J2" t="str">
        <f t="shared" ref="J2:J31" si="0">IF(OR(M2&gt;1,O2&gt;1),"Review","OK")</f>
        <v>OK</v>
      </c>
      <c r="K2" t="str">
        <f>PROPER(TRIM(customer_data[[#This Row],[City]]))</f>
        <v>Jaipur</v>
      </c>
      <c r="L2" t="str">
        <f>TRIM(LOWER(customer_data[[#This Row],[Email]]))</f>
        <v>diya.rao1@example.com</v>
      </c>
      <c r="M2">
        <f t="shared" ref="M2:M31" si="1">COUNTIF($C$2:$C$31,L2)</f>
        <v>1</v>
      </c>
      <c r="N2" t="str">
        <f>TRIM(PROPER(customer_data[[#This Row],[Full Name]]))</f>
        <v>Diya Rao</v>
      </c>
      <c r="O2">
        <f t="shared" ref="O2:O31" si="2">COUNTIF($B$2:$B$31,N2)</f>
        <v>1</v>
      </c>
    </row>
    <row r="3" spans="1:15" x14ac:dyDescent="0.25">
      <c r="A3" t="s">
        <v>21</v>
      </c>
      <c r="B3" t="s">
        <v>22</v>
      </c>
      <c r="C3" t="s">
        <v>23</v>
      </c>
      <c r="D3" s="1">
        <v>9177981348</v>
      </c>
      <c r="E3" t="s">
        <v>24</v>
      </c>
      <c r="F3" t="s">
        <v>25</v>
      </c>
      <c r="G3" s="3">
        <v>45602</v>
      </c>
      <c r="H3" s="5">
        <v>31080</v>
      </c>
      <c r="I3" t="s">
        <v>26</v>
      </c>
      <c r="J3" t="str">
        <f t="shared" si="0"/>
        <v>Review</v>
      </c>
      <c r="K3" t="str">
        <f>PROPER(TRIM(customer_data[[#This Row],[City]]))</f>
        <v>Ahmedabad</v>
      </c>
      <c r="L3" t="str">
        <f>TRIM(LOWER(customer_data[[#This Row],[Email]]))</f>
        <v>ananya.bhatt2@example.com</v>
      </c>
      <c r="M3">
        <f t="shared" si="1"/>
        <v>1</v>
      </c>
      <c r="N3" t="str">
        <f>TRIM(PROPER(customer_data[[#This Row],[Full Name]]))</f>
        <v>Ananya Bhatt</v>
      </c>
      <c r="O3">
        <f t="shared" si="2"/>
        <v>2</v>
      </c>
    </row>
    <row r="4" spans="1:15" x14ac:dyDescent="0.25">
      <c r="A4" t="s">
        <v>27</v>
      </c>
      <c r="B4" t="s">
        <v>28</v>
      </c>
      <c r="C4" t="s">
        <v>29</v>
      </c>
      <c r="D4" s="1" t="s">
        <v>30</v>
      </c>
      <c r="E4" t="s">
        <v>31</v>
      </c>
      <c r="F4" t="s">
        <v>32</v>
      </c>
      <c r="G4" s="3">
        <v>45520</v>
      </c>
      <c r="H4" s="5">
        <v>21186</v>
      </c>
      <c r="I4" t="s">
        <v>20</v>
      </c>
      <c r="J4" t="str">
        <f t="shared" si="0"/>
        <v>OK</v>
      </c>
      <c r="K4" t="str">
        <f>PROPER(TRIM(customer_data[[#This Row],[City]]))</f>
        <v>Chennai</v>
      </c>
      <c r="L4" t="str">
        <f>TRIM(LOWER(customer_data[[#This Row],[Email]]))</f>
        <v>arjun.chauhan3@example.com</v>
      </c>
      <c r="M4">
        <f t="shared" si="1"/>
        <v>1</v>
      </c>
      <c r="N4" t="str">
        <f>TRIM(PROPER(customer_data[[#This Row],[Full Name]]))</f>
        <v>Arjun Chauhan</v>
      </c>
      <c r="O4">
        <f t="shared" si="2"/>
        <v>1</v>
      </c>
    </row>
    <row r="5" spans="1:15" x14ac:dyDescent="0.25">
      <c r="A5" t="s">
        <v>33</v>
      </c>
      <c r="B5" t="s">
        <v>34</v>
      </c>
      <c r="C5" t="s">
        <v>35</v>
      </c>
      <c r="D5" s="1">
        <v>9487266582</v>
      </c>
      <c r="E5" t="s">
        <v>18</v>
      </c>
      <c r="F5" t="s">
        <v>19</v>
      </c>
      <c r="G5" s="3">
        <v>45445</v>
      </c>
      <c r="H5" s="5">
        <v>11054</v>
      </c>
      <c r="I5" t="s">
        <v>20</v>
      </c>
      <c r="J5" t="str">
        <f t="shared" si="0"/>
        <v>OK</v>
      </c>
      <c r="K5" t="str">
        <f>PROPER(TRIM(customer_data[[#This Row],[City]]))</f>
        <v>Jaipur</v>
      </c>
      <c r="L5" t="str">
        <f>TRIM(LOWER(customer_data[[#This Row],[Email]]))</f>
        <v>isha.reddy4@example.com</v>
      </c>
      <c r="M5">
        <f t="shared" si="1"/>
        <v>1</v>
      </c>
      <c r="N5" t="str">
        <f>TRIM(PROPER(customer_data[[#This Row],[Full Name]]))</f>
        <v>Isha Reddy</v>
      </c>
      <c r="O5">
        <f t="shared" si="2"/>
        <v>1</v>
      </c>
    </row>
    <row r="6" spans="1:15" x14ac:dyDescent="0.25">
      <c r="A6" t="s">
        <v>36</v>
      </c>
      <c r="B6" t="s">
        <v>37</v>
      </c>
      <c r="C6" t="s">
        <v>38</v>
      </c>
      <c r="D6" s="1" t="s">
        <v>128</v>
      </c>
      <c r="E6" t="s">
        <v>39</v>
      </c>
      <c r="F6" t="s">
        <v>40</v>
      </c>
      <c r="G6" s="3">
        <v>45417</v>
      </c>
      <c r="H6" s="5">
        <v>39482</v>
      </c>
      <c r="I6" t="s">
        <v>20</v>
      </c>
      <c r="J6" t="str">
        <f t="shared" si="0"/>
        <v>OK</v>
      </c>
      <c r="K6" t="str">
        <f>PROPER(TRIM(customer_data[[#This Row],[City]]))</f>
        <v>Pune</v>
      </c>
      <c r="L6" t="str">
        <f>TRIM(LOWER(customer_data[[#This Row],[Email]]))</f>
        <v>ishaan.sharma5@example.com</v>
      </c>
      <c r="M6">
        <f t="shared" si="1"/>
        <v>1</v>
      </c>
      <c r="N6" t="str">
        <f>TRIM(PROPER(customer_data[[#This Row],[Full Name]]))</f>
        <v>Ishaan Sharma</v>
      </c>
      <c r="O6">
        <f t="shared" si="2"/>
        <v>1</v>
      </c>
    </row>
    <row r="7" spans="1:15" x14ac:dyDescent="0.25">
      <c r="A7" t="s">
        <v>41</v>
      </c>
      <c r="B7" t="s">
        <v>42</v>
      </c>
      <c r="C7" t="s">
        <v>43</v>
      </c>
      <c r="D7" s="1">
        <v>9394263945</v>
      </c>
      <c r="E7" t="s">
        <v>44</v>
      </c>
      <c r="F7" t="s">
        <v>45</v>
      </c>
      <c r="G7" s="3">
        <v>46166</v>
      </c>
      <c r="H7" s="5">
        <v>25526</v>
      </c>
      <c r="I7" t="s">
        <v>26</v>
      </c>
      <c r="J7" t="str">
        <f t="shared" si="0"/>
        <v>OK</v>
      </c>
      <c r="K7" t="str">
        <f>PROPER(TRIM(customer_data[[#This Row],[City]]))</f>
        <v>Bengaluru</v>
      </c>
      <c r="L7" t="str">
        <f>TRIM(LOWER(customer_data[[#This Row],[Email]]))</f>
        <v>aarav.verma6@example.com</v>
      </c>
      <c r="M7">
        <f t="shared" si="1"/>
        <v>1</v>
      </c>
      <c r="N7" t="str">
        <f>TRIM(PROPER(customer_data[[#This Row],[Full Name]]))</f>
        <v>Aarav Verma</v>
      </c>
      <c r="O7">
        <f t="shared" si="2"/>
        <v>1</v>
      </c>
    </row>
    <row r="8" spans="1:15" x14ac:dyDescent="0.25">
      <c r="A8" t="s">
        <v>46</v>
      </c>
      <c r="B8" t="s">
        <v>47</v>
      </c>
      <c r="C8" t="s">
        <v>48</v>
      </c>
      <c r="D8" s="1">
        <v>9752331677</v>
      </c>
      <c r="E8" t="s">
        <v>129</v>
      </c>
      <c r="F8" t="s">
        <v>40</v>
      </c>
      <c r="G8" s="3">
        <v>46185</v>
      </c>
      <c r="H8" s="5">
        <v>42499</v>
      </c>
      <c r="I8" t="s">
        <v>49</v>
      </c>
      <c r="J8" t="str">
        <f t="shared" si="0"/>
        <v>OK</v>
      </c>
      <c r="K8" t="str">
        <f>PROPER(TRIM(customer_data[[#This Row],[City]]))</f>
        <v>Unknown</v>
      </c>
      <c r="L8" t="str">
        <f>TRIM(LOWER(customer_data[[#This Row],[Email]]))</f>
        <v>aditya.das7@example.com</v>
      </c>
      <c r="M8">
        <f t="shared" si="1"/>
        <v>1</v>
      </c>
      <c r="N8" t="str">
        <f>TRIM(PROPER(customer_data[[#This Row],[Full Name]]))</f>
        <v>Aditya Das</v>
      </c>
      <c r="O8">
        <f t="shared" si="2"/>
        <v>1</v>
      </c>
    </row>
    <row r="9" spans="1:15" x14ac:dyDescent="0.25">
      <c r="A9" t="s">
        <v>50</v>
      </c>
      <c r="B9" t="s">
        <v>51</v>
      </c>
      <c r="C9" t="s">
        <v>52</v>
      </c>
      <c r="D9" s="1" t="s">
        <v>53</v>
      </c>
      <c r="E9" t="s">
        <v>54</v>
      </c>
      <c r="F9" t="s">
        <v>55</v>
      </c>
      <c r="G9" s="3">
        <v>45477</v>
      </c>
      <c r="H9" s="5">
        <v>6704</v>
      </c>
      <c r="I9" t="s">
        <v>26</v>
      </c>
      <c r="J9" t="str">
        <f t="shared" si="0"/>
        <v>OK</v>
      </c>
      <c r="K9" t="str">
        <f>PROPER(TRIM(customer_data[[#This Row],[City]]))</f>
        <v>Hyderabad</v>
      </c>
      <c r="L9" t="str">
        <f>TRIM(LOWER(customer_data[[#This Row],[Email]]))</f>
        <v>aditya.rao8@example.com</v>
      </c>
      <c r="M9">
        <f t="shared" si="1"/>
        <v>1</v>
      </c>
      <c r="N9" t="str">
        <f>TRIM(PROPER(customer_data[[#This Row],[Full Name]]))</f>
        <v>Aditya Rao</v>
      </c>
      <c r="O9">
        <f t="shared" si="2"/>
        <v>1</v>
      </c>
    </row>
    <row r="10" spans="1:15" x14ac:dyDescent="0.25">
      <c r="A10" t="s">
        <v>56</v>
      </c>
      <c r="B10" t="s">
        <v>57</v>
      </c>
      <c r="C10" t="s">
        <v>58</v>
      </c>
      <c r="D10" s="1" t="s">
        <v>128</v>
      </c>
      <c r="E10" t="s">
        <v>31</v>
      </c>
      <c r="F10" t="s">
        <v>32</v>
      </c>
      <c r="G10" s="3">
        <v>45755</v>
      </c>
      <c r="H10" s="5">
        <v>41402</v>
      </c>
      <c r="I10" t="s">
        <v>59</v>
      </c>
      <c r="J10" t="str">
        <f t="shared" si="0"/>
        <v>Review</v>
      </c>
      <c r="K10" t="str">
        <f>PROPER(TRIM(customer_data[[#This Row],[City]]))</f>
        <v>Chennai</v>
      </c>
      <c r="L10" t="str">
        <f>TRIM(LOWER(customer_data[[#This Row],[Email]]))</f>
        <v>siddharth.kapoor9@example.com</v>
      </c>
      <c r="M10">
        <f t="shared" si="1"/>
        <v>1</v>
      </c>
      <c r="N10" t="str">
        <f>TRIM(PROPER(customer_data[[#This Row],[Full Name]]))</f>
        <v>Siddharth Kapoor</v>
      </c>
      <c r="O10">
        <f t="shared" si="2"/>
        <v>2</v>
      </c>
    </row>
    <row r="11" spans="1:15" x14ac:dyDescent="0.25">
      <c r="A11" t="s">
        <v>60</v>
      </c>
      <c r="B11" t="s">
        <v>61</v>
      </c>
      <c r="C11" t="s">
        <v>128</v>
      </c>
      <c r="D11" s="1" t="s">
        <v>128</v>
      </c>
      <c r="E11" t="s">
        <v>129</v>
      </c>
      <c r="F11" t="s">
        <v>19</v>
      </c>
      <c r="G11" s="3">
        <v>45552</v>
      </c>
      <c r="H11" s="5">
        <v>7212</v>
      </c>
      <c r="I11" t="s">
        <v>49</v>
      </c>
      <c r="J11" t="str">
        <f t="shared" si="0"/>
        <v>Review</v>
      </c>
      <c r="K11" t="str">
        <f>PROPER(TRIM(customer_data[[#This Row],[City]]))</f>
        <v>Unknown</v>
      </c>
      <c r="L11" t="str">
        <f>TRIM(LOWER(customer_data[[#This Row],[Email]]))</f>
        <v>not provided</v>
      </c>
      <c r="M11">
        <f t="shared" si="1"/>
        <v>4</v>
      </c>
      <c r="N11" t="str">
        <f>TRIM(PROPER(customer_data[[#This Row],[Full Name]]))</f>
        <v>Pooja Chauhan</v>
      </c>
      <c r="O11">
        <f t="shared" si="2"/>
        <v>1</v>
      </c>
    </row>
    <row r="12" spans="1:15" x14ac:dyDescent="0.25">
      <c r="A12" t="s">
        <v>62</v>
      </c>
      <c r="B12" t="s">
        <v>63</v>
      </c>
      <c r="C12" t="s">
        <v>128</v>
      </c>
      <c r="D12" s="1">
        <v>9399178390</v>
      </c>
      <c r="E12" t="s">
        <v>64</v>
      </c>
      <c r="F12" t="s">
        <v>32</v>
      </c>
      <c r="G12" s="3">
        <v>45413</v>
      </c>
      <c r="H12" s="5">
        <v>2334</v>
      </c>
      <c r="I12" t="s">
        <v>59</v>
      </c>
      <c r="J12" t="str">
        <f t="shared" si="0"/>
        <v>Review</v>
      </c>
      <c r="K12" t="str">
        <f>PROPER(TRIM(customer_data[[#This Row],[City]]))</f>
        <v>Chennai</v>
      </c>
      <c r="L12" t="str">
        <f>TRIM(LOWER(customer_data[[#This Row],[Email]]))</f>
        <v>not provided</v>
      </c>
      <c r="M12">
        <f t="shared" si="1"/>
        <v>4</v>
      </c>
      <c r="N12" t="str">
        <f>TRIM(PROPER(customer_data[[#This Row],[Full Name]]))</f>
        <v>Nikhil Verma</v>
      </c>
      <c r="O12">
        <f t="shared" si="2"/>
        <v>1</v>
      </c>
    </row>
    <row r="13" spans="1:15" x14ac:dyDescent="0.25">
      <c r="A13" t="s">
        <v>65</v>
      </c>
      <c r="B13" t="s">
        <v>66</v>
      </c>
      <c r="C13" t="s">
        <v>67</v>
      </c>
      <c r="D13" s="1" t="s">
        <v>68</v>
      </c>
      <c r="E13" t="s">
        <v>18</v>
      </c>
      <c r="F13" t="s">
        <v>19</v>
      </c>
      <c r="G13" s="3">
        <v>45687</v>
      </c>
      <c r="H13" s="5">
        <v>30329</v>
      </c>
      <c r="I13" t="s">
        <v>20</v>
      </c>
      <c r="J13" t="str">
        <f t="shared" si="0"/>
        <v>OK</v>
      </c>
      <c r="K13" t="str">
        <f>PROPER(TRIM(customer_data[[#This Row],[City]]))</f>
        <v>Jaipur</v>
      </c>
      <c r="L13" t="str">
        <f>TRIM(LOWER(customer_data[[#This Row],[Email]]))</f>
        <v>pooja.kapoor13@example.com</v>
      </c>
      <c r="M13">
        <f t="shared" si="1"/>
        <v>1</v>
      </c>
      <c r="N13" t="str">
        <f>TRIM(PROPER(customer_data[[#This Row],[Full Name]]))</f>
        <v>Pooja Kapoor</v>
      </c>
      <c r="O13">
        <f t="shared" si="2"/>
        <v>1</v>
      </c>
    </row>
    <row r="14" spans="1:15" x14ac:dyDescent="0.25">
      <c r="A14" t="s">
        <v>69</v>
      </c>
      <c r="B14" t="s">
        <v>70</v>
      </c>
      <c r="C14" t="s">
        <v>71</v>
      </c>
      <c r="D14" s="1">
        <v>9569270810</v>
      </c>
      <c r="E14" t="s">
        <v>72</v>
      </c>
      <c r="F14" t="s">
        <v>73</v>
      </c>
      <c r="G14" s="3">
        <v>45901</v>
      </c>
      <c r="H14" s="5">
        <v>-6716</v>
      </c>
      <c r="I14" t="s">
        <v>20</v>
      </c>
      <c r="J14" t="str">
        <f t="shared" si="0"/>
        <v>OK</v>
      </c>
      <c r="K14" t="str">
        <f>PROPER(TRIM(customer_data[[#This Row],[City]]))</f>
        <v>Kolkata</v>
      </c>
      <c r="L14" t="str">
        <f>TRIM(LOWER(customer_data[[#This Row],[Email]]))</f>
        <v>pooja.das14@example.com</v>
      </c>
      <c r="M14">
        <f t="shared" si="1"/>
        <v>1</v>
      </c>
      <c r="N14" t="str">
        <f>TRIM(PROPER(customer_data[[#This Row],[Full Name]]))</f>
        <v>Pooja Das</v>
      </c>
      <c r="O14">
        <f t="shared" si="2"/>
        <v>1</v>
      </c>
    </row>
    <row r="15" spans="1:15" x14ac:dyDescent="0.25">
      <c r="A15" t="s">
        <v>138</v>
      </c>
      <c r="B15" t="s">
        <v>139</v>
      </c>
      <c r="C15" t="s">
        <v>140</v>
      </c>
      <c r="D15" s="1" t="s">
        <v>141</v>
      </c>
      <c r="E15" t="s">
        <v>142</v>
      </c>
      <c r="F15" t="s">
        <v>25</v>
      </c>
      <c r="G15" s="3">
        <v>46012</v>
      </c>
      <c r="H15" s="5">
        <v>17984</v>
      </c>
      <c r="I15" t="s">
        <v>26</v>
      </c>
      <c r="J15" t="str">
        <f>IF(OR(M15&gt;1,O15&gt;1),"Review","OK")</f>
        <v>OK</v>
      </c>
      <c r="K15" t="str">
        <f>PROPER(TRIM(customer_data[[#This Row],[City]]))</f>
        <v>Ahmedabad</v>
      </c>
      <c r="L15" t="str">
        <f>TRIM(LOWER(customer_data[[#This Row],[Email]]))</f>
        <v>aditi.rao16@example.com</v>
      </c>
      <c r="M15">
        <f t="shared" si="1"/>
        <v>1</v>
      </c>
      <c r="N15" t="str">
        <f>TRIM(PROPER(customer_data[[#This Row],[Full Name]]))</f>
        <v>Aditi Rao</v>
      </c>
      <c r="O15">
        <f t="shared" si="2"/>
        <v>1</v>
      </c>
    </row>
    <row r="16" spans="1:15" x14ac:dyDescent="0.25">
      <c r="A16" t="s">
        <v>74</v>
      </c>
      <c r="B16" t="s">
        <v>75</v>
      </c>
      <c r="C16" t="s">
        <v>76</v>
      </c>
      <c r="D16" s="1" t="s">
        <v>77</v>
      </c>
      <c r="E16" t="s">
        <v>72</v>
      </c>
      <c r="F16" t="s">
        <v>73</v>
      </c>
      <c r="G16" s="3">
        <v>45725</v>
      </c>
      <c r="H16" s="5">
        <v>1862</v>
      </c>
      <c r="I16" t="s">
        <v>20</v>
      </c>
      <c r="J16" t="str">
        <f t="shared" si="0"/>
        <v>OK</v>
      </c>
      <c r="K16" t="str">
        <f>PROPER(TRIM(customer_data[[#This Row],[City]]))</f>
        <v>Kolkata</v>
      </c>
      <c r="L16" t="str">
        <f>TRIM(LOWER(customer_data[[#This Row],[Email]]))</f>
        <v>aarav.joshi17@example.com</v>
      </c>
      <c r="M16">
        <f t="shared" si="1"/>
        <v>1</v>
      </c>
      <c r="N16" t="str">
        <f>TRIM(PROPER(customer_data[[#This Row],[Full Name]]))</f>
        <v>Aarav Joshi</v>
      </c>
      <c r="O16">
        <f t="shared" si="2"/>
        <v>1</v>
      </c>
    </row>
    <row r="17" spans="1:15" x14ac:dyDescent="0.25">
      <c r="A17" t="s">
        <v>78</v>
      </c>
      <c r="B17" t="s">
        <v>79</v>
      </c>
      <c r="C17" t="s">
        <v>80</v>
      </c>
      <c r="D17" s="1">
        <v>9495084811</v>
      </c>
      <c r="E17" t="s">
        <v>24</v>
      </c>
      <c r="F17" t="s">
        <v>25</v>
      </c>
      <c r="G17" s="3">
        <v>45561</v>
      </c>
      <c r="H17" s="5">
        <v>23804</v>
      </c>
      <c r="I17" t="s">
        <v>20</v>
      </c>
      <c r="J17" t="str">
        <f t="shared" si="0"/>
        <v>OK</v>
      </c>
      <c r="K17" t="str">
        <f>PROPER(TRIM(customer_data[[#This Row],[City]]))</f>
        <v>Ahmedabad</v>
      </c>
      <c r="L17" t="str">
        <f>TRIM(LOWER(customer_data[[#This Row],[Email]]))</f>
        <v>devansh.rao18@example.com</v>
      </c>
      <c r="M17">
        <f t="shared" si="1"/>
        <v>1</v>
      </c>
      <c r="N17" t="str">
        <f>TRIM(PROPER(customer_data[[#This Row],[Full Name]]))</f>
        <v>Devansh Rao</v>
      </c>
      <c r="O17">
        <f t="shared" si="2"/>
        <v>1</v>
      </c>
    </row>
    <row r="18" spans="1:15" x14ac:dyDescent="0.25">
      <c r="A18" t="s">
        <v>81</v>
      </c>
      <c r="B18" t="s">
        <v>82</v>
      </c>
      <c r="C18" t="s">
        <v>83</v>
      </c>
      <c r="D18" s="1" t="s">
        <v>128</v>
      </c>
      <c r="E18" t="s">
        <v>18</v>
      </c>
      <c r="F18" t="s">
        <v>19</v>
      </c>
      <c r="G18" s="3">
        <v>45772</v>
      </c>
      <c r="H18" s="5">
        <v>17282</v>
      </c>
      <c r="I18" t="s">
        <v>49</v>
      </c>
      <c r="J18" t="str">
        <f t="shared" si="0"/>
        <v>OK</v>
      </c>
      <c r="K18" t="str">
        <f>PROPER(TRIM(customer_data[[#This Row],[City]]))</f>
        <v>Jaipur</v>
      </c>
      <c r="L18" t="str">
        <f>TRIM(LOWER(customer_data[[#This Row],[Email]]))</f>
        <v>siddharth.patel19@example.com</v>
      </c>
      <c r="M18">
        <f t="shared" si="1"/>
        <v>1</v>
      </c>
      <c r="N18" t="str">
        <f>TRIM(PROPER(customer_data[[#This Row],[Full Name]]))</f>
        <v>Siddharth Patel</v>
      </c>
      <c r="O18">
        <f t="shared" si="2"/>
        <v>1</v>
      </c>
    </row>
    <row r="19" spans="1:15" x14ac:dyDescent="0.25">
      <c r="A19" t="s">
        <v>84</v>
      </c>
      <c r="B19" t="s">
        <v>85</v>
      </c>
      <c r="C19" t="s">
        <v>86</v>
      </c>
      <c r="D19" s="1">
        <v>9137343472</v>
      </c>
      <c r="E19" t="s">
        <v>87</v>
      </c>
      <c r="F19" t="s">
        <v>45</v>
      </c>
      <c r="G19" s="3">
        <v>45611</v>
      </c>
      <c r="H19" s="5">
        <v>2150</v>
      </c>
      <c r="I19" t="s">
        <v>49</v>
      </c>
      <c r="J19" t="str">
        <f t="shared" si="0"/>
        <v>OK</v>
      </c>
      <c r="K19" t="str">
        <f>PROPER(TRIM(customer_data[[#This Row],[City]]))</f>
        <v>Bengaluru</v>
      </c>
      <c r="L19" t="str">
        <f>TRIM(LOWER(customer_data[[#This Row],[Email]]))</f>
        <v>arjun.verma20@example.com</v>
      </c>
      <c r="M19">
        <f t="shared" si="1"/>
        <v>1</v>
      </c>
      <c r="N19" t="str">
        <f>TRIM(PROPER(customer_data[[#This Row],[Full Name]]))</f>
        <v>Arjun Verma</v>
      </c>
      <c r="O19">
        <f t="shared" si="2"/>
        <v>1</v>
      </c>
    </row>
    <row r="20" spans="1:15" x14ac:dyDescent="0.25">
      <c r="A20" t="s">
        <v>88</v>
      </c>
      <c r="B20" t="s">
        <v>89</v>
      </c>
      <c r="C20" t="s">
        <v>90</v>
      </c>
      <c r="D20" s="1">
        <v>9403422088</v>
      </c>
      <c r="E20" t="s">
        <v>91</v>
      </c>
      <c r="F20" t="s">
        <v>19</v>
      </c>
      <c r="G20" s="3">
        <v>46115</v>
      </c>
      <c r="H20" s="5">
        <v>23979</v>
      </c>
      <c r="I20" t="s">
        <v>20</v>
      </c>
      <c r="J20" t="str">
        <f t="shared" si="0"/>
        <v>OK</v>
      </c>
      <c r="K20" t="str">
        <f>PROPER(TRIM(customer_data[[#This Row],[City]]))</f>
        <v>Jaipur</v>
      </c>
      <c r="L20" t="str">
        <f>TRIM(LOWER(customer_data[[#This Row],[Email]]))</f>
        <v>aditya.menon21@example.com</v>
      </c>
      <c r="M20">
        <f t="shared" si="1"/>
        <v>1</v>
      </c>
      <c r="N20" t="str">
        <f>TRIM(PROPER(customer_data[[#This Row],[Full Name]]))</f>
        <v>Aditya Menon</v>
      </c>
      <c r="O20">
        <f t="shared" si="2"/>
        <v>1</v>
      </c>
    </row>
    <row r="21" spans="1:15" x14ac:dyDescent="0.25">
      <c r="A21" t="s">
        <v>92</v>
      </c>
      <c r="B21" t="s">
        <v>93</v>
      </c>
      <c r="C21" t="s">
        <v>94</v>
      </c>
      <c r="D21" s="1">
        <v>9256982177</v>
      </c>
      <c r="E21" t="s">
        <v>44</v>
      </c>
      <c r="F21" t="s">
        <v>45</v>
      </c>
      <c r="G21" s="3">
        <v>45293</v>
      </c>
      <c r="H21" s="5">
        <v>15575</v>
      </c>
      <c r="I21" t="s">
        <v>20</v>
      </c>
      <c r="J21" t="str">
        <f t="shared" si="0"/>
        <v>OK</v>
      </c>
      <c r="K21" t="str">
        <f>PROPER(TRIM(customer_data[[#This Row],[City]]))</f>
        <v>Bengaluru</v>
      </c>
      <c r="L21" t="str">
        <f>TRIM(LOWER(customer_data[[#This Row],[Email]]))</f>
        <v>diya.sharma22@example.com</v>
      </c>
      <c r="M21">
        <f t="shared" si="1"/>
        <v>1</v>
      </c>
      <c r="N21" t="str">
        <f>TRIM(PROPER(customer_data[[#This Row],[Full Name]]))</f>
        <v>Diya Sharma</v>
      </c>
      <c r="O21">
        <f t="shared" si="2"/>
        <v>1</v>
      </c>
    </row>
    <row r="22" spans="1:15" x14ac:dyDescent="0.25">
      <c r="A22" t="s">
        <v>95</v>
      </c>
      <c r="B22" t="s">
        <v>96</v>
      </c>
      <c r="C22" t="s">
        <v>97</v>
      </c>
      <c r="D22" s="1" t="s">
        <v>98</v>
      </c>
      <c r="E22" t="s">
        <v>129</v>
      </c>
      <c r="F22" t="s">
        <v>99</v>
      </c>
      <c r="G22" s="3">
        <v>45546</v>
      </c>
      <c r="H22" s="5">
        <v>14121</v>
      </c>
      <c r="I22" t="s">
        <v>20</v>
      </c>
      <c r="J22" t="str">
        <f t="shared" si="0"/>
        <v>OK</v>
      </c>
      <c r="K22" t="str">
        <f>PROPER(TRIM(customer_data[[#This Row],[City]]))</f>
        <v>Unknown</v>
      </c>
      <c r="L22" t="str">
        <f>TRIM(LOWER(customer_data[[#This Row],[Email]]))</f>
        <v>simran.menon23@example.com</v>
      </c>
      <c r="M22">
        <f t="shared" si="1"/>
        <v>1</v>
      </c>
      <c r="N22" t="str">
        <f>TRIM(PROPER(customer_data[[#This Row],[Full Name]]))</f>
        <v>Simran Menon</v>
      </c>
      <c r="O22">
        <f t="shared" si="2"/>
        <v>1</v>
      </c>
    </row>
    <row r="23" spans="1:15" x14ac:dyDescent="0.25">
      <c r="A23" t="s">
        <v>100</v>
      </c>
      <c r="B23" t="s">
        <v>22</v>
      </c>
      <c r="C23" t="s">
        <v>128</v>
      </c>
      <c r="D23" s="1" t="s">
        <v>101</v>
      </c>
      <c r="E23" t="s">
        <v>54</v>
      </c>
      <c r="F23" t="s">
        <v>55</v>
      </c>
      <c r="G23" s="3">
        <v>45324</v>
      </c>
      <c r="H23" s="5">
        <v>37273</v>
      </c>
      <c r="I23" t="s">
        <v>59</v>
      </c>
      <c r="J23" t="str">
        <f t="shared" si="0"/>
        <v>Review</v>
      </c>
      <c r="K23" t="str">
        <f>PROPER(TRIM(customer_data[[#This Row],[City]]))</f>
        <v>Hyderabad</v>
      </c>
      <c r="L23" t="str">
        <f>TRIM(LOWER(customer_data[[#This Row],[Email]]))</f>
        <v>not provided</v>
      </c>
      <c r="M23">
        <f t="shared" si="1"/>
        <v>4</v>
      </c>
      <c r="N23" t="str">
        <f>TRIM(PROPER(customer_data[[#This Row],[Full Name]]))</f>
        <v>Ananya Bhatt</v>
      </c>
      <c r="O23">
        <f t="shared" si="2"/>
        <v>2</v>
      </c>
    </row>
    <row r="24" spans="1:15" x14ac:dyDescent="0.25">
      <c r="A24" t="s">
        <v>102</v>
      </c>
      <c r="B24" t="s">
        <v>57</v>
      </c>
      <c r="C24" t="s">
        <v>103</v>
      </c>
      <c r="D24" s="1">
        <v>9311880275</v>
      </c>
      <c r="E24" t="s">
        <v>129</v>
      </c>
      <c r="F24" t="s">
        <v>55</v>
      </c>
      <c r="G24" s="3">
        <v>45794</v>
      </c>
      <c r="H24" s="5">
        <v>25673</v>
      </c>
      <c r="I24" t="s">
        <v>59</v>
      </c>
      <c r="J24" t="str">
        <f t="shared" si="0"/>
        <v>Review</v>
      </c>
      <c r="K24" t="str">
        <f>PROPER(TRIM(customer_data[[#This Row],[City]]))</f>
        <v>Unknown</v>
      </c>
      <c r="L24" t="str">
        <f>TRIM(LOWER(customer_data[[#This Row],[Email]]))</f>
        <v>siddharth.kapoor25@example.com</v>
      </c>
      <c r="M24">
        <f t="shared" si="1"/>
        <v>1</v>
      </c>
      <c r="N24" t="str">
        <f>TRIM(PROPER(customer_data[[#This Row],[Full Name]]))</f>
        <v>Siddharth Kapoor</v>
      </c>
      <c r="O24">
        <f t="shared" si="2"/>
        <v>2</v>
      </c>
    </row>
    <row r="25" spans="1:15" x14ac:dyDescent="0.25">
      <c r="A25" t="s">
        <v>104</v>
      </c>
      <c r="B25" t="s">
        <v>105</v>
      </c>
      <c r="C25" t="s">
        <v>106</v>
      </c>
      <c r="D25" s="1" t="s">
        <v>128</v>
      </c>
      <c r="E25" t="s">
        <v>107</v>
      </c>
      <c r="F25" t="s">
        <v>55</v>
      </c>
      <c r="G25" s="3">
        <v>45791</v>
      </c>
      <c r="H25" s="5">
        <v>40656</v>
      </c>
      <c r="I25" t="s">
        <v>49</v>
      </c>
      <c r="J25" t="str">
        <f t="shared" si="0"/>
        <v>OK</v>
      </c>
      <c r="K25" t="str">
        <f>PROPER(TRIM(customer_data[[#This Row],[City]]))</f>
        <v>Hyderabad</v>
      </c>
      <c r="L25" t="str">
        <f>TRIM(LOWER(customer_data[[#This Row],[Email]]))</f>
        <v>arjun.menon26@example.com</v>
      </c>
      <c r="M25">
        <f t="shared" si="1"/>
        <v>1</v>
      </c>
      <c r="N25" t="str">
        <f>TRIM(PROPER(customer_data[[#This Row],[Full Name]]))</f>
        <v>Arjun Menon</v>
      </c>
      <c r="O25">
        <f t="shared" si="2"/>
        <v>1</v>
      </c>
    </row>
    <row r="26" spans="1:15" x14ac:dyDescent="0.25">
      <c r="A26" t="s">
        <v>108</v>
      </c>
      <c r="B26" t="s">
        <v>109</v>
      </c>
      <c r="C26" t="s">
        <v>110</v>
      </c>
      <c r="D26" s="1">
        <v>9561072854</v>
      </c>
      <c r="E26" t="s">
        <v>24</v>
      </c>
      <c r="F26" t="s">
        <v>25</v>
      </c>
      <c r="G26" s="3">
        <v>46084</v>
      </c>
      <c r="H26" s="5">
        <v>22745</v>
      </c>
      <c r="I26" t="s">
        <v>49</v>
      </c>
      <c r="J26" t="str">
        <f t="shared" si="0"/>
        <v>OK</v>
      </c>
      <c r="K26" t="str">
        <f>PROPER(TRIM(customer_data[[#This Row],[City]]))</f>
        <v>Ahmedabad</v>
      </c>
      <c r="L26" t="str">
        <f>TRIM(LOWER(customer_data[[#This Row],[Email]]))</f>
        <v>rohan.kapoor27@example.com</v>
      </c>
      <c r="M26">
        <f t="shared" si="1"/>
        <v>1</v>
      </c>
      <c r="N26" t="str">
        <f>TRIM(PROPER(customer_data[[#This Row],[Full Name]]))</f>
        <v>Rohan Kapoor</v>
      </c>
      <c r="O26">
        <f t="shared" si="2"/>
        <v>1</v>
      </c>
    </row>
    <row r="27" spans="1:15" x14ac:dyDescent="0.25">
      <c r="A27" t="s">
        <v>111</v>
      </c>
      <c r="B27" t="s">
        <v>112</v>
      </c>
      <c r="C27" t="s">
        <v>113</v>
      </c>
      <c r="D27" s="1" t="s">
        <v>114</v>
      </c>
      <c r="E27" t="s">
        <v>99</v>
      </c>
      <c r="F27" t="s">
        <v>99</v>
      </c>
      <c r="G27" s="3">
        <v>45497</v>
      </c>
      <c r="H27" s="5">
        <v>4075</v>
      </c>
      <c r="I27" t="s">
        <v>59</v>
      </c>
      <c r="J27" t="str">
        <f t="shared" si="0"/>
        <v>OK</v>
      </c>
      <c r="K27" t="str">
        <f>PROPER(TRIM(customer_data[[#This Row],[City]]))</f>
        <v>Delhi</v>
      </c>
      <c r="L27" t="str">
        <f>TRIM(LOWER(customer_data[[#This Row],[Email]]))</f>
        <v>sneha.chauhan28@example.com</v>
      </c>
      <c r="M27">
        <f t="shared" si="1"/>
        <v>1</v>
      </c>
      <c r="N27" t="str">
        <f>TRIM(PROPER(customer_data[[#This Row],[Full Name]]))</f>
        <v>Sneha Chauhan</v>
      </c>
      <c r="O27">
        <f t="shared" si="2"/>
        <v>1</v>
      </c>
    </row>
    <row r="28" spans="1:15" x14ac:dyDescent="0.25">
      <c r="A28" t="s">
        <v>115</v>
      </c>
      <c r="B28" t="s">
        <v>116</v>
      </c>
      <c r="C28" t="s">
        <v>117</v>
      </c>
      <c r="D28" s="1" t="s">
        <v>118</v>
      </c>
      <c r="E28" t="s">
        <v>24</v>
      </c>
      <c r="F28" t="s">
        <v>25</v>
      </c>
      <c r="G28" s="3">
        <v>45420</v>
      </c>
      <c r="H28" s="5">
        <v>36196</v>
      </c>
      <c r="I28" t="s">
        <v>26</v>
      </c>
      <c r="J28" t="str">
        <f t="shared" si="0"/>
        <v>OK</v>
      </c>
      <c r="K28" t="str">
        <f>PROPER(TRIM(customer_data[[#This Row],[City]]))</f>
        <v>Ahmedabad</v>
      </c>
      <c r="L28" t="str">
        <f>TRIM(LOWER(customer_data[[#This Row],[Email]]))</f>
        <v>meera.reddy29@example.com</v>
      </c>
      <c r="M28">
        <f t="shared" si="1"/>
        <v>1</v>
      </c>
      <c r="N28" t="str">
        <f>TRIM(PROPER(customer_data[[#This Row],[Full Name]]))</f>
        <v>Meera Reddy</v>
      </c>
      <c r="O28">
        <f t="shared" si="2"/>
        <v>1</v>
      </c>
    </row>
    <row r="29" spans="1:15" x14ac:dyDescent="0.25">
      <c r="A29" t="s">
        <v>119</v>
      </c>
      <c r="B29" t="s">
        <v>120</v>
      </c>
      <c r="C29" t="s">
        <v>128</v>
      </c>
      <c r="D29" s="1">
        <v>9214210239</v>
      </c>
      <c r="E29" t="s">
        <v>31</v>
      </c>
      <c r="F29" t="s">
        <v>32</v>
      </c>
      <c r="G29" s="3">
        <v>46012</v>
      </c>
      <c r="H29" s="5">
        <v>24656</v>
      </c>
      <c r="I29" t="s">
        <v>26</v>
      </c>
      <c r="J29" t="str">
        <f t="shared" si="0"/>
        <v>Review</v>
      </c>
      <c r="K29" t="str">
        <f>PROPER(TRIM(customer_data[[#This Row],[City]]))</f>
        <v>Chennai</v>
      </c>
      <c r="L29" t="str">
        <f>TRIM(LOWER(customer_data[[#This Row],[Email]]))</f>
        <v>not provided</v>
      </c>
      <c r="M29">
        <f t="shared" si="1"/>
        <v>4</v>
      </c>
      <c r="N29" t="str">
        <f>TRIM(PROPER(customer_data[[#This Row],[Full Name]]))</f>
        <v>Vivaan Chauhan</v>
      </c>
      <c r="O29">
        <f t="shared" si="2"/>
        <v>1</v>
      </c>
    </row>
    <row r="30" spans="1:15" x14ac:dyDescent="0.25">
      <c r="A30" t="s">
        <v>121</v>
      </c>
      <c r="B30" t="s">
        <v>143</v>
      </c>
      <c r="C30" t="s">
        <v>122</v>
      </c>
      <c r="D30" s="1">
        <v>9222271940</v>
      </c>
      <c r="E30" t="s">
        <v>18</v>
      </c>
      <c r="F30" t="s">
        <v>19</v>
      </c>
      <c r="G30" s="3">
        <v>45892</v>
      </c>
      <c r="H30" s="5">
        <v>6593</v>
      </c>
      <c r="I30" t="s">
        <v>26</v>
      </c>
      <c r="J30" t="str">
        <f t="shared" si="0"/>
        <v>OK</v>
      </c>
      <c r="K30" t="str">
        <f>PROPER(TRIM(customer_data[[#This Row],[City]]))</f>
        <v>Jaipur</v>
      </c>
      <c r="L30" t="str">
        <f>TRIM(LOWER(customer_data[[#This Row],[Email]]))</f>
        <v>anika.gupta12@example.com</v>
      </c>
      <c r="M30">
        <f t="shared" si="1"/>
        <v>1</v>
      </c>
      <c r="N30" t="str">
        <f>TRIM(PROPER(customer_data[[#This Row],[Full Name]]))</f>
        <v>Anika Gupta</v>
      </c>
      <c r="O30">
        <f t="shared" si="2"/>
        <v>1</v>
      </c>
    </row>
    <row r="31" spans="1:15" x14ac:dyDescent="0.25">
      <c r="A31" t="s">
        <v>123</v>
      </c>
      <c r="B31" t="s">
        <v>124</v>
      </c>
      <c r="C31" t="s">
        <v>125</v>
      </c>
      <c r="D31" s="1">
        <v>9353685732</v>
      </c>
      <c r="E31" t="s">
        <v>24</v>
      </c>
      <c r="F31" t="s">
        <v>25</v>
      </c>
      <c r="G31" s="3">
        <v>46178</v>
      </c>
      <c r="H31" s="5">
        <v>-40828</v>
      </c>
      <c r="I31" t="s">
        <v>26</v>
      </c>
      <c r="J31" t="str">
        <f t="shared" si="0"/>
        <v>OK</v>
      </c>
      <c r="K31" t="str">
        <f>PROPER(TRIM(customer_data[[#This Row],[City]]))</f>
        <v>Ahmedabad</v>
      </c>
      <c r="L31" t="str">
        <f>TRIM(LOWER(customer_data[[#This Row],[Email]]))</f>
        <v>pooja.gupta15@example.com</v>
      </c>
      <c r="M31">
        <f t="shared" si="1"/>
        <v>1</v>
      </c>
      <c r="N31" t="str">
        <f>TRIM(PROPER(customer_data[[#This Row],[Full Name]]))</f>
        <v>Pooja Gupta</v>
      </c>
      <c r="O31">
        <f t="shared" si="2"/>
        <v>1</v>
      </c>
    </row>
    <row r="33" spans="1:5" x14ac:dyDescent="0.25">
      <c r="A33" t="s">
        <v>126</v>
      </c>
    </row>
    <row r="34" spans="1:5" x14ac:dyDescent="0.25">
      <c r="A34" t="s">
        <v>127</v>
      </c>
    </row>
    <row r="35" spans="1:5" x14ac:dyDescent="0.25">
      <c r="C35" s="2">
        <f>COUNTBLANK(customer_data[Email])</f>
        <v>0</v>
      </c>
      <c r="D35" s="4">
        <f>COUNTBLANK(customer_data[Phone])</f>
        <v>0</v>
      </c>
      <c r="E35">
        <f>COUNTBLANK(customer_data[City])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3BD0D-8D3C-4D7D-8184-B43C65FDEBB3}">
  <dimension ref="A1:B8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4.28515625" customWidth="1"/>
  </cols>
  <sheetData>
    <row r="1" spans="1:2" x14ac:dyDescent="0.25">
      <c r="A1" t="s">
        <v>130</v>
      </c>
      <c r="B1">
        <v>40</v>
      </c>
    </row>
    <row r="2" spans="1:2" x14ac:dyDescent="0.25">
      <c r="A2" t="s">
        <v>131</v>
      </c>
      <c r="B2">
        <v>5</v>
      </c>
    </row>
    <row r="3" spans="1:2" x14ac:dyDescent="0.25">
      <c r="A3" t="s">
        <v>132</v>
      </c>
      <c r="B3">
        <v>5</v>
      </c>
    </row>
    <row r="4" spans="1:2" x14ac:dyDescent="0.25">
      <c r="A4" t="s">
        <v>133</v>
      </c>
      <c r="B4">
        <f>COUNTA(customer_data[Customer ID])</f>
        <v>30</v>
      </c>
    </row>
    <row r="5" spans="1:2" x14ac:dyDescent="0.25">
      <c r="A5" t="s">
        <v>134</v>
      </c>
      <c r="B5">
        <f>COUNTIF(customer_data[Email],"Not Provided")</f>
        <v>4</v>
      </c>
    </row>
    <row r="6" spans="1:2" x14ac:dyDescent="0.25">
      <c r="A6" t="s">
        <v>137</v>
      </c>
      <c r="B6">
        <f>COUNTIF(customer_data[Phone],"Not Provided")</f>
        <v>6</v>
      </c>
    </row>
    <row r="7" spans="1:2" x14ac:dyDescent="0.25">
      <c r="A7" t="s">
        <v>135</v>
      </c>
      <c r="B7">
        <f>COUNTIF(customer_data[City],"Unknown")</f>
        <v>4</v>
      </c>
    </row>
    <row r="8" spans="1:2" x14ac:dyDescent="0.25">
      <c r="A8" t="s">
        <v>136</v>
      </c>
      <c r="B8">
        <f>COUNTIF(customer_data[Total Purchases],"&lt;0")</f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8A86AD-5519-417E-AEC1-906087FCD7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Mpstme Student</dc:creator>
  <cp:keywords/>
  <dc:description/>
  <cp:lastModifiedBy>ADITYA MISHRA - 70522500010</cp:lastModifiedBy>
  <cp:revision/>
  <dcterms:created xsi:type="dcterms:W3CDTF">2026-08-10T03:04:47Z</dcterms:created>
  <dcterms:modified xsi:type="dcterms:W3CDTF">2026-08-11T17:47:13Z</dcterms:modified>
  <cp:category/>
  <cp:contentStatus/>
</cp:coreProperties>
</file>