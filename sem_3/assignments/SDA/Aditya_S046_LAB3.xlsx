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Nextcloud2\uni\SEM 3\assingments\SDA\"/>
    </mc:Choice>
  </mc:AlternateContent>
  <xr:revisionPtr revIDLastSave="0" documentId="8_{9B03CFE3-760D-44DD-8BC1-753BBA37A7F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mployee_data" sheetId="1" r:id="rId1"/>
    <sheet name="Projection" sheetId="3" r:id="rId2"/>
    <sheet name="Summary" sheetId="2" r:id="rId3"/>
    <sheet name="Fix This " sheetId="5" r:id="rId4"/>
    <sheet name="Notes" sheetId="6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B6" i="5"/>
  <c r="C6" i="5"/>
  <c r="D6" i="5"/>
  <c r="B7" i="5"/>
  <c r="C7" i="5" s="1"/>
  <c r="D7" i="5" s="1"/>
  <c r="B8" i="5"/>
  <c r="C8" i="5"/>
  <c r="D8" i="5" s="1"/>
  <c r="B9" i="5"/>
  <c r="C9" i="5"/>
  <c r="D9" i="5"/>
  <c r="B10" i="5"/>
  <c r="C10" i="5"/>
  <c r="D10" i="5"/>
  <c r="E22" i="3"/>
  <c r="C22" i="3"/>
  <c r="H22" i="3" s="1"/>
  <c r="B22" i="3"/>
  <c r="A22" i="3"/>
  <c r="C21" i="3"/>
  <c r="G21" i="3" s="1"/>
  <c r="B21" i="3"/>
  <c r="A21" i="3"/>
  <c r="H20" i="3"/>
  <c r="G20" i="3"/>
  <c r="F20" i="3"/>
  <c r="E20" i="3"/>
  <c r="C20" i="3"/>
  <c r="D20" i="3" s="1"/>
  <c r="B20" i="3"/>
  <c r="A20" i="3"/>
  <c r="C19" i="3"/>
  <c r="H19" i="3" s="1"/>
  <c r="B19" i="3"/>
  <c r="A19" i="3"/>
  <c r="E18" i="3"/>
  <c r="C18" i="3"/>
  <c r="D18" i="3" s="1"/>
  <c r="B18" i="3"/>
  <c r="A18" i="3"/>
  <c r="E17" i="3"/>
  <c r="C17" i="3"/>
  <c r="H17" i="3" s="1"/>
  <c r="B17" i="3"/>
  <c r="A17" i="3"/>
  <c r="C16" i="3"/>
  <c r="F16" i="3" s="1"/>
  <c r="B16" i="3"/>
  <c r="A16" i="3"/>
  <c r="H15" i="3"/>
  <c r="G15" i="3"/>
  <c r="F15" i="3"/>
  <c r="E15" i="3"/>
  <c r="C15" i="3"/>
  <c r="D15" i="3" s="1"/>
  <c r="B15" i="3"/>
  <c r="A15" i="3"/>
  <c r="C14" i="3"/>
  <c r="H14" i="3" s="1"/>
  <c r="B14" i="3"/>
  <c r="A14" i="3"/>
  <c r="C13" i="3"/>
  <c r="E13" i="3" s="1"/>
  <c r="B13" i="3"/>
  <c r="A13" i="3"/>
  <c r="E12" i="3"/>
  <c r="C12" i="3"/>
  <c r="H12" i="3" s="1"/>
  <c r="B12" i="3"/>
  <c r="A12" i="3"/>
  <c r="C11" i="3"/>
  <c r="H11" i="3" s="1"/>
  <c r="B11" i="3"/>
  <c r="A11" i="3"/>
  <c r="H10" i="3"/>
  <c r="G10" i="3"/>
  <c r="F10" i="3"/>
  <c r="E10" i="3"/>
  <c r="C10" i="3"/>
  <c r="D10" i="3" s="1"/>
  <c r="B10" i="3"/>
  <c r="A10" i="3"/>
  <c r="C9" i="3"/>
  <c r="H9" i="3" s="1"/>
  <c r="B9" i="3"/>
  <c r="A9" i="3"/>
  <c r="C8" i="3"/>
  <c r="E8" i="3" s="1"/>
  <c r="B8" i="3"/>
  <c r="A8" i="3"/>
  <c r="E7" i="3"/>
  <c r="C7" i="3"/>
  <c r="H7" i="3" s="1"/>
  <c r="B7" i="3"/>
  <c r="A7" i="3"/>
  <c r="C6" i="3"/>
  <c r="G6" i="3" s="1"/>
  <c r="B6" i="3"/>
  <c r="A6" i="3"/>
  <c r="H5" i="3"/>
  <c r="G5" i="3"/>
  <c r="F5" i="3"/>
  <c r="E5" i="3"/>
  <c r="C5" i="3"/>
  <c r="D5" i="3" s="1"/>
  <c r="B5" i="3"/>
  <c r="A5" i="3"/>
  <c r="C4" i="3"/>
  <c r="H4" i="3" s="1"/>
  <c r="B4" i="3"/>
  <c r="A4" i="3"/>
  <c r="C3" i="3"/>
  <c r="D3" i="3" s="1"/>
  <c r="B3" i="3"/>
  <c r="A3" i="3"/>
  <c r="U21" i="1"/>
  <c r="T21" i="1"/>
  <c r="S21" i="1"/>
  <c r="R21" i="1"/>
  <c r="P21" i="1"/>
  <c r="N21" i="1"/>
  <c r="O21" i="1" s="1"/>
  <c r="M21" i="1"/>
  <c r="L21" i="1"/>
  <c r="K21" i="1"/>
  <c r="V21" i="1" s="1"/>
  <c r="I21" i="1"/>
  <c r="J21" i="1" s="1"/>
  <c r="H21" i="1"/>
  <c r="V20" i="1"/>
  <c r="U20" i="1"/>
  <c r="T20" i="1"/>
  <c r="S20" i="1"/>
  <c r="R20" i="1"/>
  <c r="P20" i="1"/>
  <c r="N20" i="1"/>
  <c r="M20" i="1"/>
  <c r="L20" i="1"/>
  <c r="O20" i="1" s="1"/>
  <c r="K20" i="1"/>
  <c r="I20" i="1"/>
  <c r="J20" i="1" s="1"/>
  <c r="H20" i="1"/>
  <c r="W19" i="1"/>
  <c r="V19" i="1"/>
  <c r="U19" i="1"/>
  <c r="T19" i="1"/>
  <c r="S19" i="1"/>
  <c r="R19" i="1"/>
  <c r="P19" i="1"/>
  <c r="O19" i="1"/>
  <c r="Q19" i="1" s="1"/>
  <c r="N19" i="1"/>
  <c r="M19" i="1"/>
  <c r="L19" i="1"/>
  <c r="K19" i="1"/>
  <c r="I19" i="1"/>
  <c r="J19" i="1" s="1"/>
  <c r="H19" i="1"/>
  <c r="V18" i="1"/>
  <c r="U18" i="1"/>
  <c r="T18" i="1"/>
  <c r="S18" i="1"/>
  <c r="R18" i="1"/>
  <c r="P18" i="1"/>
  <c r="N18" i="1"/>
  <c r="M18" i="1"/>
  <c r="L18" i="1"/>
  <c r="O18" i="1" s="1"/>
  <c r="K18" i="1"/>
  <c r="I18" i="1"/>
  <c r="J18" i="1" s="1"/>
  <c r="H18" i="1"/>
  <c r="V17" i="1"/>
  <c r="U17" i="1"/>
  <c r="T17" i="1"/>
  <c r="R17" i="1"/>
  <c r="P17" i="1"/>
  <c r="N17" i="1"/>
  <c r="M17" i="1"/>
  <c r="O17" i="1" s="1"/>
  <c r="L17" i="1"/>
  <c r="K17" i="1"/>
  <c r="I17" i="1"/>
  <c r="J17" i="1" s="1"/>
  <c r="H17" i="1"/>
  <c r="U16" i="1"/>
  <c r="T16" i="1"/>
  <c r="S16" i="1"/>
  <c r="R16" i="1"/>
  <c r="P16" i="1"/>
  <c r="N16" i="1"/>
  <c r="M16" i="1"/>
  <c r="L16" i="1"/>
  <c r="O16" i="1" s="1"/>
  <c r="K16" i="1"/>
  <c r="V16" i="1" s="1"/>
  <c r="J16" i="1"/>
  <c r="I16" i="1"/>
  <c r="H16" i="1"/>
  <c r="U15" i="1"/>
  <c r="T15" i="1"/>
  <c r="S15" i="1"/>
  <c r="R15" i="1"/>
  <c r="P15" i="1"/>
  <c r="N15" i="1"/>
  <c r="M15" i="1"/>
  <c r="L15" i="1"/>
  <c r="O15" i="1" s="1"/>
  <c r="K15" i="1"/>
  <c r="V15" i="1" s="1"/>
  <c r="I15" i="1"/>
  <c r="J15" i="1" s="1"/>
  <c r="H15" i="1"/>
  <c r="U14" i="1"/>
  <c r="T14" i="1"/>
  <c r="S14" i="1"/>
  <c r="R14" i="1"/>
  <c r="P14" i="1"/>
  <c r="N14" i="1"/>
  <c r="M14" i="1"/>
  <c r="O14" i="1" s="1"/>
  <c r="L14" i="1"/>
  <c r="K14" i="1"/>
  <c r="V14" i="1" s="1"/>
  <c r="I14" i="1"/>
  <c r="J14" i="1" s="1"/>
  <c r="H14" i="1"/>
  <c r="V13" i="1"/>
  <c r="U13" i="1"/>
  <c r="T13" i="1"/>
  <c r="R13" i="1"/>
  <c r="P13" i="1"/>
  <c r="N13" i="1"/>
  <c r="M13" i="1"/>
  <c r="L13" i="1"/>
  <c r="O13" i="1" s="1"/>
  <c r="K13" i="1"/>
  <c r="J13" i="1"/>
  <c r="I13" i="1"/>
  <c r="H13" i="1"/>
  <c r="V12" i="1"/>
  <c r="U12" i="1"/>
  <c r="T12" i="1"/>
  <c r="S12" i="1"/>
  <c r="R12" i="1"/>
  <c r="P12" i="1"/>
  <c r="N12" i="1"/>
  <c r="M12" i="1"/>
  <c r="O12" i="1" s="1"/>
  <c r="L12" i="1"/>
  <c r="K12" i="1"/>
  <c r="I12" i="1"/>
  <c r="J12" i="1" s="1"/>
  <c r="H12" i="1"/>
  <c r="U11" i="1"/>
  <c r="T11" i="1"/>
  <c r="R11" i="1"/>
  <c r="P11" i="1"/>
  <c r="O11" i="1"/>
  <c r="Q11" i="1" s="1"/>
  <c r="N11" i="1"/>
  <c r="M11" i="1"/>
  <c r="L11" i="1"/>
  <c r="K11" i="1"/>
  <c r="J11" i="1"/>
  <c r="I11" i="1"/>
  <c r="H11" i="1"/>
  <c r="V10" i="1"/>
  <c r="U10" i="1"/>
  <c r="T10" i="1"/>
  <c r="S10" i="1"/>
  <c r="R10" i="1"/>
  <c r="P10" i="1"/>
  <c r="N10" i="1"/>
  <c r="M10" i="1"/>
  <c r="L10" i="1"/>
  <c r="O10" i="1" s="1"/>
  <c r="K10" i="1"/>
  <c r="J10" i="1"/>
  <c r="I10" i="1"/>
  <c r="H10" i="1"/>
  <c r="U9" i="1"/>
  <c r="T9" i="1"/>
  <c r="R9" i="1"/>
  <c r="P9" i="1"/>
  <c r="N9" i="1"/>
  <c r="M9" i="1"/>
  <c r="L9" i="1"/>
  <c r="O9" i="1" s="1"/>
  <c r="K9" i="1"/>
  <c r="V9" i="1" s="1"/>
  <c r="I9" i="1"/>
  <c r="J9" i="1" s="1"/>
  <c r="H9" i="1"/>
  <c r="U8" i="1"/>
  <c r="T8" i="1"/>
  <c r="S8" i="1"/>
  <c r="R8" i="1"/>
  <c r="P8" i="1"/>
  <c r="N8" i="1"/>
  <c r="M8" i="1"/>
  <c r="L8" i="1"/>
  <c r="O8" i="1" s="1"/>
  <c r="K8" i="1"/>
  <c r="V8" i="1" s="1"/>
  <c r="I8" i="1"/>
  <c r="J8" i="1" s="1"/>
  <c r="H8" i="1"/>
  <c r="U7" i="1"/>
  <c r="T7" i="1"/>
  <c r="R7" i="1"/>
  <c r="P7" i="1"/>
  <c r="N7" i="1"/>
  <c r="M7" i="1"/>
  <c r="L7" i="1"/>
  <c r="O7" i="1" s="1"/>
  <c r="K7" i="1"/>
  <c r="V7" i="1" s="1"/>
  <c r="I7" i="1"/>
  <c r="J7" i="1" s="1"/>
  <c r="H7" i="1"/>
  <c r="W6" i="1"/>
  <c r="V6" i="1"/>
  <c r="U6" i="1"/>
  <c r="X6" i="1" s="1"/>
  <c r="T6" i="1"/>
  <c r="S6" i="1"/>
  <c r="R6" i="1"/>
  <c r="P6" i="1"/>
  <c r="O6" i="1"/>
  <c r="Q6" i="1" s="1"/>
  <c r="N6" i="1"/>
  <c r="M6" i="1"/>
  <c r="L6" i="1"/>
  <c r="K6" i="1"/>
  <c r="I6" i="1"/>
  <c r="J6" i="1" s="1"/>
  <c r="H6" i="1"/>
  <c r="V5" i="1"/>
  <c r="U5" i="1"/>
  <c r="T5" i="1"/>
  <c r="S5" i="1"/>
  <c r="R5" i="1"/>
  <c r="P5" i="1"/>
  <c r="N5" i="1"/>
  <c r="M5" i="1"/>
  <c r="L5" i="1"/>
  <c r="O5" i="1" s="1"/>
  <c r="K5" i="1"/>
  <c r="I5" i="1"/>
  <c r="J5" i="1" s="1"/>
  <c r="H5" i="1"/>
  <c r="V4" i="1"/>
  <c r="U4" i="1"/>
  <c r="T4" i="1"/>
  <c r="S4" i="1"/>
  <c r="R4" i="1"/>
  <c r="P4" i="1"/>
  <c r="N4" i="1"/>
  <c r="O4" i="1" s="1"/>
  <c r="M4" i="1"/>
  <c r="L4" i="1"/>
  <c r="K4" i="1"/>
  <c r="J4" i="1"/>
  <c r="I4" i="1"/>
  <c r="H4" i="1"/>
  <c r="U3" i="1"/>
  <c r="T3" i="1"/>
  <c r="B7" i="2" s="1"/>
  <c r="S3" i="1"/>
  <c r="R3" i="1"/>
  <c r="P3" i="1"/>
  <c r="N3" i="1"/>
  <c r="M3" i="1"/>
  <c r="L3" i="1"/>
  <c r="O3" i="1" s="1"/>
  <c r="K3" i="1"/>
  <c r="V3" i="1" s="1"/>
  <c r="I3" i="1"/>
  <c r="J3" i="1" s="1"/>
  <c r="H3" i="1"/>
  <c r="U2" i="1"/>
  <c r="T2" i="1"/>
  <c r="S2" i="1"/>
  <c r="R2" i="1"/>
  <c r="P2" i="1"/>
  <c r="N2" i="1"/>
  <c r="M2" i="1"/>
  <c r="L2" i="1"/>
  <c r="O2" i="1" s="1"/>
  <c r="K2" i="1"/>
  <c r="V2" i="1" s="1"/>
  <c r="I2" i="1"/>
  <c r="J2" i="1" s="1"/>
  <c r="H2" i="1"/>
  <c r="B26" i="2"/>
  <c r="B25" i="2"/>
  <c r="B24" i="2"/>
  <c r="B23" i="2"/>
  <c r="B22" i="2"/>
  <c r="W10" i="1" l="1"/>
  <c r="Q10" i="1"/>
  <c r="X10" i="1" s="1"/>
  <c r="S17" i="1"/>
  <c r="W17" i="1"/>
  <c r="Q17" i="1"/>
  <c r="X17" i="1" s="1"/>
  <c r="Q15" i="1"/>
  <c r="X15" i="1" s="1"/>
  <c r="W15" i="1"/>
  <c r="Q12" i="1"/>
  <c r="W12" i="1"/>
  <c r="X12" i="1"/>
  <c r="W2" i="1"/>
  <c r="Q2" i="1"/>
  <c r="X2" i="1" s="1"/>
  <c r="S9" i="1"/>
  <c r="W9" i="1"/>
  <c r="Q9" i="1"/>
  <c r="X9" i="1" s="1"/>
  <c r="W14" i="1"/>
  <c r="Q14" i="1"/>
  <c r="X14" i="1" s="1"/>
  <c r="B15" i="2" s="1"/>
  <c r="X16" i="1"/>
  <c r="B17" i="2" s="1"/>
  <c r="W16" i="1"/>
  <c r="Q16" i="1"/>
  <c r="X21" i="1"/>
  <c r="W21" i="1"/>
  <c r="Q21" i="1"/>
  <c r="W20" i="1"/>
  <c r="Q20" i="1"/>
  <c r="X20" i="1" s="1"/>
  <c r="Q5" i="1"/>
  <c r="X5" i="1" s="1"/>
  <c r="W5" i="1"/>
  <c r="Q4" i="1"/>
  <c r="X4" i="1"/>
  <c r="B12" i="2" s="1"/>
  <c r="W4" i="1"/>
  <c r="Q18" i="1"/>
  <c r="X18" i="1"/>
  <c r="W18" i="1"/>
  <c r="X19" i="1"/>
  <c r="S7" i="1"/>
  <c r="X7" i="1"/>
  <c r="W7" i="1"/>
  <c r="Q7" i="1"/>
  <c r="X3" i="1"/>
  <c r="W3" i="1"/>
  <c r="Q3" i="1"/>
  <c r="W8" i="1"/>
  <c r="Q8" i="1"/>
  <c r="X8" i="1" s="1"/>
  <c r="Q13" i="1"/>
  <c r="S13" i="1"/>
  <c r="X13" i="1"/>
  <c r="W13" i="1"/>
  <c r="S11" i="1"/>
  <c r="X11" i="1" s="1"/>
  <c r="B16" i="2" s="1"/>
  <c r="E3" i="3"/>
  <c r="F8" i="3"/>
  <c r="G13" i="3"/>
  <c r="H3" i="3"/>
  <c r="D6" i="3"/>
  <c r="H8" i="3"/>
  <c r="D11" i="3"/>
  <c r="H13" i="3"/>
  <c r="D16" i="3"/>
  <c r="H18" i="3"/>
  <c r="D21" i="3"/>
  <c r="W11" i="1"/>
  <c r="E6" i="3"/>
  <c r="E11" i="3"/>
  <c r="E16" i="3"/>
  <c r="E21" i="3"/>
  <c r="D8" i="3"/>
  <c r="G3" i="3"/>
  <c r="F11" i="3"/>
  <c r="E4" i="3"/>
  <c r="E9" i="3"/>
  <c r="E14" i="3"/>
  <c r="E19" i="3"/>
  <c r="F3" i="3"/>
  <c r="G11" i="3"/>
  <c r="D19" i="3"/>
  <c r="F4" i="3"/>
  <c r="F9" i="3"/>
  <c r="F14" i="3"/>
  <c r="F19" i="3"/>
  <c r="H16" i="3"/>
  <c r="G4" i="3"/>
  <c r="G9" i="3"/>
  <c r="G14" i="3"/>
  <c r="G19" i="3"/>
  <c r="F18" i="3"/>
  <c r="G8" i="3"/>
  <c r="F6" i="3"/>
  <c r="D4" i="3"/>
  <c r="H6" i="3"/>
  <c r="D9" i="3"/>
  <c r="D14" i="3"/>
  <c r="H21" i="3"/>
  <c r="D7" i="3"/>
  <c r="D12" i="3"/>
  <c r="D17" i="3"/>
  <c r="D22" i="3"/>
  <c r="F13" i="3"/>
  <c r="D13" i="3"/>
  <c r="G18" i="3"/>
  <c r="G16" i="3"/>
  <c r="F7" i="3"/>
  <c r="F12" i="3"/>
  <c r="F17" i="3"/>
  <c r="F22" i="3"/>
  <c r="G7" i="3"/>
  <c r="G12" i="3"/>
  <c r="G17" i="3"/>
  <c r="G22" i="3"/>
  <c r="F21" i="3"/>
  <c r="B5" i="2" l="1"/>
  <c r="B4" i="2"/>
  <c r="B6" i="2"/>
  <c r="B3" i="2"/>
  <c r="B13" i="2"/>
  <c r="B14" i="2"/>
</calcChain>
</file>

<file path=xl/sharedStrings.xml><?xml version="1.0" encoding="utf-8"?>
<sst xmlns="http://schemas.openxmlformats.org/spreadsheetml/2006/main" count="171" uniqueCount="122">
  <si>
    <t>Employee ID</t>
  </si>
  <si>
    <t>Name</t>
  </si>
  <si>
    <t>Department</t>
  </si>
  <si>
    <t>Basic Salary</t>
  </si>
  <si>
    <t>Years of Service</t>
  </si>
  <si>
    <t>Performance Rating</t>
  </si>
  <si>
    <t>Attendance %</t>
  </si>
  <si>
    <t xml:space="preserve">Annual Basic Salary </t>
  </si>
  <si>
    <t>Basic Salary per day</t>
  </si>
  <si>
    <t>Basic salary per hour</t>
  </si>
  <si>
    <t>Years of Service(Months)</t>
  </si>
  <si>
    <t>HRA AMT</t>
  </si>
  <si>
    <t>DA AMT</t>
  </si>
  <si>
    <t>CONVEYANCE AMT</t>
  </si>
  <si>
    <t>GROSS SALARY</t>
  </si>
  <si>
    <t>PF DEDUCTION</t>
  </si>
  <si>
    <t>PROFESSIONAL TAX</t>
  </si>
  <si>
    <t>BONUS</t>
  </si>
  <si>
    <t>ATTENDANCE DEDUCTION</t>
  </si>
  <si>
    <t>INCREMENT ELIGIBILITY</t>
  </si>
  <si>
    <t>SPECIAL ALLOWANCE</t>
  </si>
  <si>
    <t>Performance Warning Flag</t>
  </si>
  <si>
    <t>HIGH EARNER</t>
  </si>
  <si>
    <t>NET SALARY</t>
  </si>
  <si>
    <t>company rates</t>
  </si>
  <si>
    <t>EMP001</t>
  </si>
  <si>
    <t>Ishaan Gupta</t>
  </si>
  <si>
    <t>HR</t>
  </si>
  <si>
    <t xml:space="preserve">HRA </t>
  </si>
  <si>
    <t>EMP002</t>
  </si>
  <si>
    <t>Meera Chauhan</t>
  </si>
  <si>
    <t>Engineering</t>
  </si>
  <si>
    <t>DA</t>
  </si>
  <si>
    <t>EMP003</t>
  </si>
  <si>
    <t>Rohan Chauhan</t>
  </si>
  <si>
    <t>Sales</t>
  </si>
  <si>
    <t>CONVEYANCE</t>
  </si>
  <si>
    <t>EMP004</t>
  </si>
  <si>
    <t>Aditi Iyer</t>
  </si>
  <si>
    <t>Marketing</t>
  </si>
  <si>
    <t>PF</t>
  </si>
  <si>
    <t>EMP005</t>
  </si>
  <si>
    <t>Neha Rao</t>
  </si>
  <si>
    <t>EMP006</t>
  </si>
  <si>
    <t>Diya Kapoor</t>
  </si>
  <si>
    <t>Support</t>
  </si>
  <si>
    <t>EMP007</t>
  </si>
  <si>
    <t>Aarav Das</t>
  </si>
  <si>
    <t>EMP008</t>
  </si>
  <si>
    <t>Pooja Iyer</t>
  </si>
  <si>
    <t>EMP009</t>
  </si>
  <si>
    <t>Aditi Chauhan</t>
  </si>
  <si>
    <t>EMP010</t>
  </si>
  <si>
    <t>Aditi Verma</t>
  </si>
  <si>
    <t>Finance</t>
  </si>
  <si>
    <t>EMP011</t>
  </si>
  <si>
    <t>Karan Iyer</t>
  </si>
  <si>
    <t>EMP012</t>
  </si>
  <si>
    <t>Siddharth Gupta</t>
  </si>
  <si>
    <t>EMP013</t>
  </si>
  <si>
    <t>Pooja Sharma</t>
  </si>
  <si>
    <t>EMP014</t>
  </si>
  <si>
    <t>Siddharth Patel</t>
  </si>
  <si>
    <t>EMP015</t>
  </si>
  <si>
    <t>Diya Iyer</t>
  </si>
  <si>
    <t>EMP016</t>
  </si>
  <si>
    <t>Priya Chauhan</t>
  </si>
  <si>
    <t>EMP017</t>
  </si>
  <si>
    <t>Aditi Joshi</t>
  </si>
  <si>
    <t>EMP018</t>
  </si>
  <si>
    <t>Vivaan Kapoor</t>
  </si>
  <si>
    <t>EMP019</t>
  </si>
  <si>
    <t>Aditya Sharma</t>
  </si>
  <si>
    <t>EMP020</t>
  </si>
  <si>
    <t>Rohan Patel</t>
  </si>
  <si>
    <t>METRIC</t>
  </si>
  <si>
    <t>VALUE</t>
  </si>
  <si>
    <t>TOTAL MONTHLY PAYROLL</t>
  </si>
  <si>
    <t xml:space="preserve">AVERAGE NET SALARY </t>
  </si>
  <si>
    <t xml:space="preserve">HIGHEST NET SALARY </t>
  </si>
  <si>
    <t>LOWEST NET SALARY</t>
  </si>
  <si>
    <t>Eligible for Inc.</t>
  </si>
  <si>
    <t xml:space="preserve">AVERAGE NET SALARY BY DEPARTMENT </t>
  </si>
  <si>
    <t>Column1</t>
  </si>
  <si>
    <t>DEPARTMENT</t>
  </si>
  <si>
    <t>AVERAGE</t>
  </si>
  <si>
    <t>Performance Rating Breakdown</t>
  </si>
  <si>
    <t>Rating</t>
  </si>
  <si>
    <t>Count</t>
  </si>
  <si>
    <t>Year 1</t>
  </si>
  <si>
    <t>Year 2</t>
  </si>
  <si>
    <t>Year 3</t>
  </si>
  <si>
    <t xml:space="preserve">Year 4 </t>
  </si>
  <si>
    <t xml:space="preserve">Year 5 </t>
  </si>
  <si>
    <t>ANNUAL INCREMENT RATE</t>
  </si>
  <si>
    <t>Department Bonus Pool — Fix the Broken Formulas Below</t>
  </si>
  <si>
    <t>Each row below contains a formula that a previous analyst wrote, but something went wrong. Diagnose the error, then rewrite each formula correctly using the raw data provided in columns G:I.</t>
  </si>
  <si>
    <t>Raw Data for Reference</t>
  </si>
  <si>
    <t>Total Basic Salary</t>
  </si>
  <si>
    <t>Bonus Pool (10%)</t>
  </si>
  <si>
    <t>Avg Bonus / Employee</t>
  </si>
  <si>
    <t>Error Diagnosis (fill in)</t>
  </si>
  <si>
    <t>Employee Count</t>
  </si>
  <si>
    <r>
      <t xml:space="preserve">Diagnose: what does #REF! mean, and how did this likely happen?  </t>
    </r>
    <r>
      <rPr>
        <b/>
        <i/>
        <sz val="10"/>
        <color theme="1"/>
        <rFont val="Cambria"/>
        <family val="1"/>
      </rPr>
      <t>It appears when a formula refers to a cell or range that no longer exists.</t>
    </r>
  </si>
  <si>
    <r>
      <t>Diagnose: why does this formula return #DIV/0!, and which cell is the real problem?</t>
    </r>
    <r>
      <rPr>
        <b/>
        <i/>
        <sz val="10"/>
        <color theme="1"/>
        <rFont val="Cambria"/>
        <family val="1"/>
      </rPr>
      <t xml:space="preserve"> divide by zero</t>
    </r>
  </si>
  <si>
    <r>
      <t xml:space="preserve">Diagnose: what's wrong with the function name used in B8? </t>
    </r>
    <r>
      <rPr>
        <b/>
        <i/>
        <sz val="10"/>
        <color theme="1"/>
        <rFont val="Cambria"/>
        <family val="1"/>
      </rPr>
      <t>Not Summ but Sum and @ not required</t>
    </r>
  </si>
  <si>
    <r>
      <t xml:space="preserve">Diagnose: why does B9 return #VALUE!, and what does that error category mean? </t>
    </r>
    <r>
      <rPr>
        <b/>
        <i/>
        <sz val="10"/>
        <color theme="1"/>
        <rFont val="Cambria"/>
        <family val="1"/>
      </rPr>
      <t>turns #VALUE! because you're trying to add text ("N/A") to numbers.</t>
    </r>
  </si>
  <si>
    <r>
      <t xml:space="preserve">Diagnose: this one shows a number, not an error — but is the range actually correct? Check it against the raw data. </t>
    </r>
    <r>
      <rPr>
        <b/>
        <i/>
        <sz val="10"/>
        <color theme="1"/>
        <rFont val="Cambria"/>
        <family val="1"/>
      </rPr>
      <t>Range Incorrect</t>
    </r>
  </si>
  <si>
    <t>the embedded formula for calculating the performance warning flag using IF(AND) was the trickiest</t>
  </si>
  <si>
    <t>Understanding different Excel error types such as #REF!, #DIV/0!, and #VALUE!.</t>
  </si>
  <si>
    <t>Identifying why formulas produced errors instead of valid results.</t>
  </si>
  <si>
    <t>Correcting incorrect cell and range references in formulas.</t>
  </si>
  <si>
    <t>Using the SUMIF function with the correct syntax and arguments.</t>
  </si>
  <si>
    <t>Distinguishing between formula syntax errors and logical errors.</t>
  </si>
  <si>
    <t>Finding mistakes in function names and invalid formula operators.</t>
  </si>
  <si>
    <t>Debugging formulas affected by missing or deleted cell references.</t>
  </si>
  <si>
    <t>Handling divide-by-zero situations by checking source data.</t>
  </si>
  <si>
    <t>Recognizing how text values can cause #VALUE! errors in calculations.</t>
  </si>
  <si>
    <t>Verifying that formulas referenced the intended data range rather than simply returning a numeric result.</t>
  </si>
  <si>
    <t>Applying systematic troubleshooting techniques to repair spreadsheet formulas.</t>
  </si>
  <si>
    <t>Improving accuracy in reading and interpreting Excel formulas before making corrections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</si>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</sst>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0"/>
      <color rgb="FFC00000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i/>
      <sz val="10"/>
      <name val="Cambria"/>
      <family val="1"/>
    </font>
    <font>
      <b/>
      <sz val="13"/>
      <color rgb="FF1F4E78"/>
      <name val="Cambria"/>
      <family val="1"/>
    </font>
    <font>
      <b/>
      <i/>
      <sz val="10"/>
      <color theme="1"/>
      <name val="Cambria"/>
      <family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9" fontId="0" fillId="0" borderId="0" xfId="0" applyNumberFormat="1"/>
    <xf numFmtId="0" fontId="2" fillId="0" borderId="0" xfId="1"/>
    <xf numFmtId="164" fontId="2" fillId="0" borderId="0" xfId="1" applyNumberFormat="1"/>
    <xf numFmtId="0" fontId="3" fillId="2" borderId="0" xfId="1" applyFont="1" applyFill="1" applyAlignment="1">
      <alignment vertical="top" wrapText="1"/>
    </xf>
    <xf numFmtId="164" fontId="2" fillId="2" borderId="0" xfId="1" applyNumberFormat="1" applyFill="1"/>
    <xf numFmtId="0" fontId="2" fillId="2" borderId="0" xfId="1" applyFill="1"/>
    <xf numFmtId="0" fontId="3" fillId="0" borderId="0" xfId="1" applyFont="1" applyAlignment="1">
      <alignment vertical="top" wrapText="1"/>
    </xf>
    <xf numFmtId="0" fontId="4" fillId="3" borderId="0" xfId="1" applyFont="1" applyFill="1"/>
    <xf numFmtId="0" fontId="5" fillId="0" borderId="0" xfId="1" applyFont="1"/>
    <xf numFmtId="0" fontId="7" fillId="0" borderId="0" xfId="1" applyFont="1"/>
    <xf numFmtId="0" fontId="6" fillId="0" borderId="0" xfId="1" applyFont="1"/>
    <xf numFmtId="0" fontId="0" fillId="0" borderId="1" xfId="0" applyBorder="1"/>
    <xf numFmtId="2" fontId="0" fillId="0" borderId="1" xfId="0" applyNumberFormat="1" applyBorder="1"/>
    <xf numFmtId="0" fontId="0" fillId="0" borderId="1" xfId="0" quotePrefix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/>
    <xf numFmtId="0" fontId="9" fillId="5" borderId="0" xfId="0" applyFont="1" applyFill="1"/>
    <xf numFmtId="0" fontId="1" fillId="6" borderId="1" xfId="0" applyFont="1" applyFill="1" applyBorder="1"/>
    <xf numFmtId="0" fontId="1" fillId="6" borderId="0" xfId="0" applyFont="1" applyFill="1"/>
    <xf numFmtId="9" fontId="1" fillId="6" borderId="0" xfId="0" applyNumberFormat="1" applyFont="1" applyFill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D00FEF42-E7EB-4400-A952-84212152F379}"/>
  </cellStyles>
  <dxfs count="1"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B18" totalsRowShown="0" headerRowDxfId="0">
  <autoFilter ref="A10:B18" xr:uid="{00000000-0009-0000-0100-000001000000}"/>
  <tableColumns count="2">
    <tableColumn id="1" xr3:uid="{00000000-0010-0000-0000-000001000000}" name="AVERAGE NET SALARY BY DEPARTMENT "/>
    <tableColumn id="2" xr3:uid="{00000000-0010-0000-0000-000002000000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showGridLines="0" workbookViewId="0">
      <selection activeCell="F33" sqref="F33"/>
    </sheetView>
  </sheetViews>
  <sheetFormatPr defaultRowHeight="15" x14ac:dyDescent="0.25"/>
  <cols>
    <col min="1" max="1" width="12.140625" bestFit="1" customWidth="1"/>
    <col min="2" max="2" width="15.42578125" bestFit="1" customWidth="1"/>
    <col min="3" max="3" width="11.7109375" bestFit="1" customWidth="1"/>
    <col min="4" max="4" width="11.140625" bestFit="1" customWidth="1"/>
    <col min="5" max="5" width="15.140625" bestFit="1" customWidth="1"/>
    <col min="6" max="6" width="18.7109375" bestFit="1" customWidth="1"/>
    <col min="7" max="7" width="13.42578125" bestFit="1" customWidth="1"/>
    <col min="8" max="8" width="18.5703125" bestFit="1" customWidth="1"/>
    <col min="9" max="9" width="18.42578125" bestFit="1" customWidth="1"/>
    <col min="10" max="10" width="19.28515625" bestFit="1" customWidth="1"/>
    <col min="11" max="11" width="23.7109375" bestFit="1" customWidth="1"/>
    <col min="12" max="12" width="9.28515625" bestFit="1" customWidth="1"/>
    <col min="13" max="13" width="8.140625" bestFit="1" customWidth="1"/>
    <col min="14" max="14" width="18.140625" customWidth="1"/>
    <col min="15" max="16" width="14.28515625" bestFit="1" customWidth="1"/>
    <col min="17" max="17" width="18.42578125" bestFit="1" customWidth="1"/>
    <col min="18" max="18" width="7.42578125" bestFit="1" customWidth="1"/>
    <col min="19" max="19" width="24.28515625" bestFit="1" customWidth="1"/>
    <col min="20" max="20" width="22.140625" bestFit="1" customWidth="1"/>
    <col min="21" max="21" width="20" bestFit="1" customWidth="1"/>
    <col min="22" max="22" width="24.85546875" bestFit="1" customWidth="1"/>
    <col min="23" max="23" width="13.140625" bestFit="1" customWidth="1"/>
    <col min="24" max="24" width="11.5703125" bestFit="1" customWidth="1"/>
  </cols>
  <sheetData>
    <row r="1" spans="1:28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AA1" t="s">
        <v>24</v>
      </c>
    </row>
    <row r="2" spans="1:28" x14ac:dyDescent="0.25">
      <c r="A2" s="12" t="s">
        <v>25</v>
      </c>
      <c r="B2" s="12" t="s">
        <v>26</v>
      </c>
      <c r="C2" s="12" t="s">
        <v>27</v>
      </c>
      <c r="D2" s="12">
        <v>48000</v>
      </c>
      <c r="E2" s="12">
        <v>10</v>
      </c>
      <c r="F2" s="12">
        <v>3</v>
      </c>
      <c r="G2" s="12">
        <v>95</v>
      </c>
      <c r="H2" s="12">
        <f t="shared" ref="H2:H21" si="0">D2*12</f>
        <v>576000</v>
      </c>
      <c r="I2" s="12">
        <f t="shared" ref="I2:I21" si="1">D2/30</f>
        <v>1600</v>
      </c>
      <c r="J2" s="13">
        <f t="shared" ref="J2:J21" si="2">I2/8</f>
        <v>200</v>
      </c>
      <c r="K2" s="12">
        <f t="shared" ref="K2:K21" si="3">E2*12</f>
        <v>120</v>
      </c>
      <c r="L2" s="14">
        <f t="shared" ref="L2:L21" si="4">D2*$AB$2</f>
        <v>19200</v>
      </c>
      <c r="M2" s="12">
        <f t="shared" ref="M2:M21" si="5">D2*$AB$3</f>
        <v>4800</v>
      </c>
      <c r="N2" s="12">
        <f t="shared" ref="N2:N21" si="6">D2*$AB$4</f>
        <v>2400</v>
      </c>
      <c r="O2" s="12">
        <f t="shared" ref="O2:O21" si="7">D2+L2+M2+N2</f>
        <v>74400</v>
      </c>
      <c r="P2" s="12">
        <f t="shared" ref="P2:P21" si="8">D2*$AB$5</f>
        <v>5760</v>
      </c>
      <c r="Q2" s="12">
        <f t="shared" ref="Q2:Q21" si="9">IF(O2&gt;50000,200,IF(O2&gt;25000,150,0))</f>
        <v>200</v>
      </c>
      <c r="R2" s="12">
        <f t="shared" ref="R2:R21" si="10">IF(F2&gt;=4,D2*10%,IF(F2=3,D2*5%,0))</f>
        <v>2400</v>
      </c>
      <c r="S2" s="12">
        <f t="shared" ref="S2:S21" si="11">IF(G2&lt;90,O2*5%,0)</f>
        <v>0</v>
      </c>
      <c r="T2" s="12" t="str">
        <f t="shared" ref="T2:T21" si="12">IF(AND(G2&gt;=90,F2&gt;=3),"Elligible","Not Elligible")</f>
        <v>Elligible</v>
      </c>
      <c r="U2" s="12">
        <f t="shared" ref="U2:U21" si="13">IF(OR(C2="Sales", C2 ="Support"),1000,0)</f>
        <v>0</v>
      </c>
      <c r="V2" s="12" t="str">
        <f t="shared" ref="V2:V21" si="14">IF(AND(F2&lt;=2,K2&gt;=3),"Needs Review","OK")</f>
        <v>OK</v>
      </c>
      <c r="W2" s="12" t="str">
        <f t="shared" ref="W2:W21" si="15">IF(OR(O2&gt;60000,R2&gt;5000),"High Earner","Standard")</f>
        <v>High Earner</v>
      </c>
      <c r="X2" s="12">
        <f t="shared" ref="X2:X21" si="16">O2+R2+U2-P2-Q2-S2</f>
        <v>70840</v>
      </c>
      <c r="AA2" t="s">
        <v>28</v>
      </c>
      <c r="AB2" s="1">
        <v>0.4</v>
      </c>
    </row>
    <row r="3" spans="1:28" x14ac:dyDescent="0.25">
      <c r="A3" s="12" t="s">
        <v>29</v>
      </c>
      <c r="B3" s="12" t="s">
        <v>30</v>
      </c>
      <c r="C3" s="12" t="s">
        <v>31</v>
      </c>
      <c r="D3" s="12">
        <v>55000</v>
      </c>
      <c r="E3" s="12">
        <v>2</v>
      </c>
      <c r="F3" s="12">
        <v>5</v>
      </c>
      <c r="G3" s="12">
        <v>96</v>
      </c>
      <c r="H3" s="12">
        <f t="shared" si="0"/>
        <v>660000</v>
      </c>
      <c r="I3" s="13">
        <f t="shared" si="1"/>
        <v>1833.3333333333333</v>
      </c>
      <c r="J3" s="13">
        <f t="shared" si="2"/>
        <v>229.16666666666666</v>
      </c>
      <c r="K3" s="12">
        <f t="shared" si="3"/>
        <v>24</v>
      </c>
      <c r="L3" s="14">
        <f t="shared" si="4"/>
        <v>22000</v>
      </c>
      <c r="M3" s="12">
        <f t="shared" si="5"/>
        <v>5500</v>
      </c>
      <c r="N3" s="12">
        <f t="shared" si="6"/>
        <v>2750</v>
      </c>
      <c r="O3" s="12">
        <f t="shared" si="7"/>
        <v>85250</v>
      </c>
      <c r="P3" s="12">
        <f t="shared" si="8"/>
        <v>6600</v>
      </c>
      <c r="Q3" s="12">
        <f t="shared" si="9"/>
        <v>200</v>
      </c>
      <c r="R3" s="12">
        <f t="shared" si="10"/>
        <v>5500</v>
      </c>
      <c r="S3" s="12">
        <f t="shared" si="11"/>
        <v>0</v>
      </c>
      <c r="T3" s="12" t="str">
        <f t="shared" si="12"/>
        <v>Elligible</v>
      </c>
      <c r="U3" s="12">
        <f t="shared" si="13"/>
        <v>0</v>
      </c>
      <c r="V3" s="12" t="str">
        <f t="shared" si="14"/>
        <v>OK</v>
      </c>
      <c r="W3" s="12" t="str">
        <f t="shared" si="15"/>
        <v>High Earner</v>
      </c>
      <c r="X3" s="12">
        <f t="shared" si="16"/>
        <v>83950</v>
      </c>
      <c r="AA3" t="s">
        <v>32</v>
      </c>
      <c r="AB3" s="1">
        <v>0.1</v>
      </c>
    </row>
    <row r="4" spans="1:28" x14ac:dyDescent="0.25">
      <c r="A4" s="12" t="s">
        <v>33</v>
      </c>
      <c r="B4" s="12" t="s">
        <v>34</v>
      </c>
      <c r="C4" s="12" t="s">
        <v>35</v>
      </c>
      <c r="D4" s="12">
        <v>28000</v>
      </c>
      <c r="E4" s="12">
        <v>5</v>
      </c>
      <c r="F4" s="12">
        <v>5</v>
      </c>
      <c r="G4" s="12">
        <v>94</v>
      </c>
      <c r="H4" s="12">
        <f t="shared" si="0"/>
        <v>336000</v>
      </c>
      <c r="I4" s="13">
        <f t="shared" si="1"/>
        <v>933.33333333333337</v>
      </c>
      <c r="J4" s="13">
        <f t="shared" si="2"/>
        <v>116.66666666666667</v>
      </c>
      <c r="K4" s="12">
        <f t="shared" si="3"/>
        <v>60</v>
      </c>
      <c r="L4" s="14">
        <f t="shared" si="4"/>
        <v>11200</v>
      </c>
      <c r="M4" s="12">
        <f t="shared" si="5"/>
        <v>2800</v>
      </c>
      <c r="N4" s="12">
        <f t="shared" si="6"/>
        <v>1400</v>
      </c>
      <c r="O4" s="12">
        <f t="shared" si="7"/>
        <v>43400</v>
      </c>
      <c r="P4" s="12">
        <f t="shared" si="8"/>
        <v>3360</v>
      </c>
      <c r="Q4" s="12">
        <f t="shared" si="9"/>
        <v>150</v>
      </c>
      <c r="R4" s="12">
        <f t="shared" si="10"/>
        <v>2800</v>
      </c>
      <c r="S4" s="12">
        <f t="shared" si="11"/>
        <v>0</v>
      </c>
      <c r="T4" s="12" t="str">
        <f t="shared" si="12"/>
        <v>Elligible</v>
      </c>
      <c r="U4" s="12">
        <f t="shared" si="13"/>
        <v>1000</v>
      </c>
      <c r="V4" s="12" t="str">
        <f t="shared" si="14"/>
        <v>OK</v>
      </c>
      <c r="W4" s="12" t="str">
        <f t="shared" si="15"/>
        <v>Standard</v>
      </c>
      <c r="X4" s="12">
        <f t="shared" si="16"/>
        <v>43690</v>
      </c>
      <c r="AA4" t="s">
        <v>36</v>
      </c>
      <c r="AB4" s="1">
        <v>0.05</v>
      </c>
    </row>
    <row r="5" spans="1:28" x14ac:dyDescent="0.25">
      <c r="A5" s="12" t="s">
        <v>37</v>
      </c>
      <c r="B5" s="12" t="s">
        <v>38</v>
      </c>
      <c r="C5" s="12" t="s">
        <v>39</v>
      </c>
      <c r="D5" s="12">
        <v>38000</v>
      </c>
      <c r="E5" s="12">
        <v>11</v>
      </c>
      <c r="F5" s="12">
        <v>1</v>
      </c>
      <c r="G5" s="12">
        <v>94</v>
      </c>
      <c r="H5" s="12">
        <f t="shared" si="0"/>
        <v>456000</v>
      </c>
      <c r="I5" s="13">
        <f t="shared" si="1"/>
        <v>1266.6666666666667</v>
      </c>
      <c r="J5" s="13">
        <f t="shared" si="2"/>
        <v>158.33333333333334</v>
      </c>
      <c r="K5" s="12">
        <f t="shared" si="3"/>
        <v>132</v>
      </c>
      <c r="L5" s="14">
        <f t="shared" si="4"/>
        <v>15200</v>
      </c>
      <c r="M5" s="12">
        <f t="shared" si="5"/>
        <v>3800</v>
      </c>
      <c r="N5" s="12">
        <f t="shared" si="6"/>
        <v>1900</v>
      </c>
      <c r="O5" s="12">
        <f t="shared" si="7"/>
        <v>58900</v>
      </c>
      <c r="P5" s="12">
        <f t="shared" si="8"/>
        <v>4560</v>
      </c>
      <c r="Q5" s="12">
        <f t="shared" si="9"/>
        <v>200</v>
      </c>
      <c r="R5" s="12">
        <f t="shared" si="10"/>
        <v>0</v>
      </c>
      <c r="S5" s="12">
        <f t="shared" si="11"/>
        <v>0</v>
      </c>
      <c r="T5" s="12" t="str">
        <f t="shared" si="12"/>
        <v>Not Elligible</v>
      </c>
      <c r="U5" s="12">
        <f t="shared" si="13"/>
        <v>0</v>
      </c>
      <c r="V5" s="12" t="str">
        <f t="shared" si="14"/>
        <v>Needs Review</v>
      </c>
      <c r="W5" s="12" t="str">
        <f t="shared" si="15"/>
        <v>Standard</v>
      </c>
      <c r="X5" s="12">
        <f t="shared" si="16"/>
        <v>54140</v>
      </c>
      <c r="AA5" t="s">
        <v>40</v>
      </c>
      <c r="AB5" s="1">
        <v>0.12</v>
      </c>
    </row>
    <row r="6" spans="1:28" x14ac:dyDescent="0.25">
      <c r="A6" s="12" t="s">
        <v>41</v>
      </c>
      <c r="B6" s="12" t="s">
        <v>42</v>
      </c>
      <c r="C6" s="12" t="s">
        <v>31</v>
      </c>
      <c r="D6" s="12">
        <v>28000</v>
      </c>
      <c r="E6" s="12">
        <v>5</v>
      </c>
      <c r="F6" s="12">
        <v>5</v>
      </c>
      <c r="G6" s="12">
        <v>95</v>
      </c>
      <c r="H6" s="12">
        <f t="shared" si="0"/>
        <v>336000</v>
      </c>
      <c r="I6" s="13">
        <f t="shared" si="1"/>
        <v>933.33333333333337</v>
      </c>
      <c r="J6" s="13">
        <f t="shared" si="2"/>
        <v>116.66666666666667</v>
      </c>
      <c r="K6" s="12">
        <f t="shared" si="3"/>
        <v>60</v>
      </c>
      <c r="L6" s="14">
        <f t="shared" si="4"/>
        <v>11200</v>
      </c>
      <c r="M6" s="12">
        <f t="shared" si="5"/>
        <v>2800</v>
      </c>
      <c r="N6" s="12">
        <f t="shared" si="6"/>
        <v>1400</v>
      </c>
      <c r="O6" s="12">
        <f t="shared" si="7"/>
        <v>43400</v>
      </c>
      <c r="P6" s="12">
        <f t="shared" si="8"/>
        <v>3360</v>
      </c>
      <c r="Q6" s="12">
        <f t="shared" si="9"/>
        <v>150</v>
      </c>
      <c r="R6" s="12">
        <f t="shared" si="10"/>
        <v>2800</v>
      </c>
      <c r="S6" s="12">
        <f t="shared" si="11"/>
        <v>0</v>
      </c>
      <c r="T6" s="12" t="str">
        <f t="shared" si="12"/>
        <v>Elligible</v>
      </c>
      <c r="U6" s="12">
        <f t="shared" si="13"/>
        <v>0</v>
      </c>
      <c r="V6" s="12" t="str">
        <f t="shared" si="14"/>
        <v>OK</v>
      </c>
      <c r="W6" s="12" t="str">
        <f t="shared" si="15"/>
        <v>Standard</v>
      </c>
      <c r="X6" s="12">
        <f t="shared" si="16"/>
        <v>42690</v>
      </c>
    </row>
    <row r="7" spans="1:28" x14ac:dyDescent="0.25">
      <c r="A7" s="12" t="s">
        <v>43</v>
      </c>
      <c r="B7" s="12" t="s">
        <v>44</v>
      </c>
      <c r="C7" s="12" t="s">
        <v>45</v>
      </c>
      <c r="D7" s="12">
        <v>28000</v>
      </c>
      <c r="E7" s="12">
        <v>2</v>
      </c>
      <c r="F7" s="12">
        <v>1</v>
      </c>
      <c r="G7" s="12">
        <v>82</v>
      </c>
      <c r="H7" s="12">
        <f t="shared" si="0"/>
        <v>336000</v>
      </c>
      <c r="I7" s="13">
        <f t="shared" si="1"/>
        <v>933.33333333333337</v>
      </c>
      <c r="J7" s="13">
        <f t="shared" si="2"/>
        <v>116.66666666666667</v>
      </c>
      <c r="K7" s="12">
        <f t="shared" si="3"/>
        <v>24</v>
      </c>
      <c r="L7" s="14">
        <f t="shared" si="4"/>
        <v>11200</v>
      </c>
      <c r="M7" s="12">
        <f t="shared" si="5"/>
        <v>2800</v>
      </c>
      <c r="N7" s="12">
        <f t="shared" si="6"/>
        <v>1400</v>
      </c>
      <c r="O7" s="12">
        <f t="shared" si="7"/>
        <v>43400</v>
      </c>
      <c r="P7" s="12">
        <f t="shared" si="8"/>
        <v>3360</v>
      </c>
      <c r="Q7" s="12">
        <f t="shared" si="9"/>
        <v>150</v>
      </c>
      <c r="R7" s="12">
        <f t="shared" si="10"/>
        <v>0</v>
      </c>
      <c r="S7" s="12">
        <f t="shared" si="11"/>
        <v>2170</v>
      </c>
      <c r="T7" s="12" t="str">
        <f t="shared" si="12"/>
        <v>Not Elligible</v>
      </c>
      <c r="U7" s="12">
        <f t="shared" si="13"/>
        <v>1000</v>
      </c>
      <c r="V7" s="12" t="str">
        <f t="shared" si="14"/>
        <v>Needs Review</v>
      </c>
      <c r="W7" s="12" t="str">
        <f t="shared" si="15"/>
        <v>Standard</v>
      </c>
      <c r="X7" s="12">
        <f t="shared" si="16"/>
        <v>38720</v>
      </c>
    </row>
    <row r="8" spans="1:28" x14ac:dyDescent="0.25">
      <c r="A8" s="12" t="s">
        <v>46</v>
      </c>
      <c r="B8" s="12" t="s">
        <v>47</v>
      </c>
      <c r="C8" s="12" t="s">
        <v>39</v>
      </c>
      <c r="D8" s="12">
        <v>55000</v>
      </c>
      <c r="E8" s="12">
        <v>11</v>
      </c>
      <c r="F8" s="12">
        <v>3</v>
      </c>
      <c r="G8" s="12">
        <v>94</v>
      </c>
      <c r="H8" s="12">
        <f t="shared" si="0"/>
        <v>660000</v>
      </c>
      <c r="I8" s="13">
        <f t="shared" si="1"/>
        <v>1833.3333333333333</v>
      </c>
      <c r="J8" s="13">
        <f t="shared" si="2"/>
        <v>229.16666666666666</v>
      </c>
      <c r="K8" s="12">
        <f t="shared" si="3"/>
        <v>132</v>
      </c>
      <c r="L8" s="14">
        <f t="shared" si="4"/>
        <v>22000</v>
      </c>
      <c r="M8" s="12">
        <f t="shared" si="5"/>
        <v>5500</v>
      </c>
      <c r="N8" s="12">
        <f t="shared" si="6"/>
        <v>2750</v>
      </c>
      <c r="O8" s="12">
        <f t="shared" si="7"/>
        <v>85250</v>
      </c>
      <c r="P8" s="12">
        <f t="shared" si="8"/>
        <v>6600</v>
      </c>
      <c r="Q8" s="12">
        <f t="shared" si="9"/>
        <v>200</v>
      </c>
      <c r="R8" s="12">
        <f t="shared" si="10"/>
        <v>2750</v>
      </c>
      <c r="S8" s="12">
        <f t="shared" si="11"/>
        <v>0</v>
      </c>
      <c r="T8" s="12" t="str">
        <f t="shared" si="12"/>
        <v>Elligible</v>
      </c>
      <c r="U8" s="12">
        <f t="shared" si="13"/>
        <v>0</v>
      </c>
      <c r="V8" s="12" t="str">
        <f t="shared" si="14"/>
        <v>OK</v>
      </c>
      <c r="W8" s="12" t="str">
        <f t="shared" si="15"/>
        <v>High Earner</v>
      </c>
      <c r="X8" s="12">
        <f t="shared" si="16"/>
        <v>81200</v>
      </c>
    </row>
    <row r="9" spans="1:28" x14ac:dyDescent="0.25">
      <c r="A9" s="12" t="s">
        <v>48</v>
      </c>
      <c r="B9" s="12" t="s">
        <v>49</v>
      </c>
      <c r="C9" s="12" t="s">
        <v>39</v>
      </c>
      <c r="D9" s="12">
        <v>65000</v>
      </c>
      <c r="E9" s="12">
        <v>0</v>
      </c>
      <c r="F9" s="12">
        <v>4</v>
      </c>
      <c r="G9" s="12">
        <v>88</v>
      </c>
      <c r="H9" s="12">
        <f t="shared" si="0"/>
        <v>780000</v>
      </c>
      <c r="I9" s="13">
        <f t="shared" si="1"/>
        <v>2166.6666666666665</v>
      </c>
      <c r="J9" s="13">
        <f t="shared" si="2"/>
        <v>270.83333333333331</v>
      </c>
      <c r="K9" s="12">
        <f t="shared" si="3"/>
        <v>0</v>
      </c>
      <c r="L9" s="14">
        <f t="shared" si="4"/>
        <v>26000</v>
      </c>
      <c r="M9" s="12">
        <f t="shared" si="5"/>
        <v>6500</v>
      </c>
      <c r="N9" s="12">
        <f t="shared" si="6"/>
        <v>3250</v>
      </c>
      <c r="O9" s="12">
        <f t="shared" si="7"/>
        <v>100750</v>
      </c>
      <c r="P9" s="12">
        <f t="shared" si="8"/>
        <v>7800</v>
      </c>
      <c r="Q9" s="12">
        <f t="shared" si="9"/>
        <v>200</v>
      </c>
      <c r="R9" s="12">
        <f t="shared" si="10"/>
        <v>6500</v>
      </c>
      <c r="S9" s="12">
        <f t="shared" si="11"/>
        <v>5037.5</v>
      </c>
      <c r="T9" s="12" t="str">
        <f t="shared" si="12"/>
        <v>Not Elligible</v>
      </c>
      <c r="U9" s="12">
        <f t="shared" si="13"/>
        <v>0</v>
      </c>
      <c r="V9" s="12" t="str">
        <f t="shared" si="14"/>
        <v>OK</v>
      </c>
      <c r="W9" s="12" t="str">
        <f t="shared" si="15"/>
        <v>High Earner</v>
      </c>
      <c r="X9" s="12">
        <f t="shared" si="16"/>
        <v>94212.5</v>
      </c>
    </row>
    <row r="10" spans="1:28" x14ac:dyDescent="0.25">
      <c r="A10" s="12" t="s">
        <v>50</v>
      </c>
      <c r="B10" s="12" t="s">
        <v>51</v>
      </c>
      <c r="C10" s="12" t="s">
        <v>39</v>
      </c>
      <c r="D10" s="12">
        <v>38000</v>
      </c>
      <c r="E10" s="12">
        <v>10</v>
      </c>
      <c r="F10" s="12">
        <v>5</v>
      </c>
      <c r="G10" s="12">
        <v>100</v>
      </c>
      <c r="H10" s="12">
        <f t="shared" si="0"/>
        <v>456000</v>
      </c>
      <c r="I10" s="13">
        <f t="shared" si="1"/>
        <v>1266.6666666666667</v>
      </c>
      <c r="J10" s="13">
        <f t="shared" si="2"/>
        <v>158.33333333333334</v>
      </c>
      <c r="K10" s="12">
        <f t="shared" si="3"/>
        <v>120</v>
      </c>
      <c r="L10" s="14">
        <f t="shared" si="4"/>
        <v>15200</v>
      </c>
      <c r="M10" s="12">
        <f t="shared" si="5"/>
        <v>3800</v>
      </c>
      <c r="N10" s="12">
        <f t="shared" si="6"/>
        <v>1900</v>
      </c>
      <c r="O10" s="12">
        <f t="shared" si="7"/>
        <v>58900</v>
      </c>
      <c r="P10" s="12">
        <f t="shared" si="8"/>
        <v>4560</v>
      </c>
      <c r="Q10" s="12">
        <f t="shared" si="9"/>
        <v>200</v>
      </c>
      <c r="R10" s="12">
        <f t="shared" si="10"/>
        <v>3800</v>
      </c>
      <c r="S10" s="12">
        <f t="shared" si="11"/>
        <v>0</v>
      </c>
      <c r="T10" s="12" t="str">
        <f t="shared" si="12"/>
        <v>Elligible</v>
      </c>
      <c r="U10" s="12">
        <f t="shared" si="13"/>
        <v>0</v>
      </c>
      <c r="V10" s="12" t="str">
        <f t="shared" si="14"/>
        <v>OK</v>
      </c>
      <c r="W10" s="12" t="str">
        <f t="shared" si="15"/>
        <v>Standard</v>
      </c>
      <c r="X10" s="12">
        <f t="shared" si="16"/>
        <v>57940</v>
      </c>
    </row>
    <row r="11" spans="1:28" x14ac:dyDescent="0.25">
      <c r="A11" s="12" t="s">
        <v>52</v>
      </c>
      <c r="B11" s="12" t="s">
        <v>53</v>
      </c>
      <c r="C11" s="12" t="s">
        <v>54</v>
      </c>
      <c r="D11" s="12">
        <v>52000</v>
      </c>
      <c r="E11" s="12">
        <v>8</v>
      </c>
      <c r="F11" s="12">
        <v>4</v>
      </c>
      <c r="G11" s="12">
        <v>88</v>
      </c>
      <c r="H11" s="12">
        <f t="shared" si="0"/>
        <v>624000</v>
      </c>
      <c r="I11" s="13">
        <f t="shared" si="1"/>
        <v>1733.3333333333333</v>
      </c>
      <c r="J11" s="13">
        <f t="shared" si="2"/>
        <v>216.66666666666666</v>
      </c>
      <c r="K11" s="12">
        <f t="shared" si="3"/>
        <v>96</v>
      </c>
      <c r="L11" s="14">
        <f t="shared" si="4"/>
        <v>20800</v>
      </c>
      <c r="M11" s="12">
        <f t="shared" si="5"/>
        <v>5200</v>
      </c>
      <c r="N11" s="12">
        <f t="shared" si="6"/>
        <v>2600</v>
      </c>
      <c r="O11" s="12">
        <f t="shared" si="7"/>
        <v>80600</v>
      </c>
      <c r="P11" s="12">
        <f t="shared" si="8"/>
        <v>6240</v>
      </c>
      <c r="Q11" s="12">
        <f t="shared" si="9"/>
        <v>200</v>
      </c>
      <c r="R11" s="12">
        <f t="shared" si="10"/>
        <v>5200</v>
      </c>
      <c r="S11" s="12">
        <f t="shared" si="11"/>
        <v>4030</v>
      </c>
      <c r="T11" s="12" t="str">
        <f t="shared" si="12"/>
        <v>Not Elligible</v>
      </c>
      <c r="U11" s="12">
        <f t="shared" si="13"/>
        <v>0</v>
      </c>
      <c r="V11" s="12" t="str">
        <f>IF(AND(F11&lt;=2,K11&gt;=3),"Needs Review","OK")</f>
        <v>OK</v>
      </c>
      <c r="W11" s="12" t="str">
        <f t="shared" si="15"/>
        <v>High Earner</v>
      </c>
      <c r="X11" s="12">
        <f t="shared" si="16"/>
        <v>75330</v>
      </c>
    </row>
    <row r="12" spans="1:28" x14ac:dyDescent="0.25">
      <c r="A12" s="12" t="s">
        <v>55</v>
      </c>
      <c r="B12" s="12" t="s">
        <v>56</v>
      </c>
      <c r="C12" s="12" t="s">
        <v>54</v>
      </c>
      <c r="D12" s="12">
        <v>48000</v>
      </c>
      <c r="E12" s="12">
        <v>4</v>
      </c>
      <c r="F12" s="12">
        <v>3</v>
      </c>
      <c r="G12" s="12">
        <v>95</v>
      </c>
      <c r="H12" s="12">
        <f t="shared" si="0"/>
        <v>576000</v>
      </c>
      <c r="I12" s="13">
        <f t="shared" si="1"/>
        <v>1600</v>
      </c>
      <c r="J12" s="13">
        <f t="shared" si="2"/>
        <v>200</v>
      </c>
      <c r="K12" s="12">
        <f t="shared" si="3"/>
        <v>48</v>
      </c>
      <c r="L12" s="14">
        <f t="shared" si="4"/>
        <v>19200</v>
      </c>
      <c r="M12" s="12">
        <f t="shared" si="5"/>
        <v>4800</v>
      </c>
      <c r="N12" s="12">
        <f t="shared" si="6"/>
        <v>2400</v>
      </c>
      <c r="O12" s="12">
        <f t="shared" si="7"/>
        <v>74400</v>
      </c>
      <c r="P12" s="12">
        <f t="shared" si="8"/>
        <v>5760</v>
      </c>
      <c r="Q12" s="12">
        <f t="shared" si="9"/>
        <v>200</v>
      </c>
      <c r="R12" s="12">
        <f t="shared" si="10"/>
        <v>2400</v>
      </c>
      <c r="S12" s="12">
        <f t="shared" si="11"/>
        <v>0</v>
      </c>
      <c r="T12" s="12" t="str">
        <f t="shared" si="12"/>
        <v>Elligible</v>
      </c>
      <c r="U12" s="12">
        <f t="shared" si="13"/>
        <v>0</v>
      </c>
      <c r="V12" s="12" t="str">
        <f t="shared" si="14"/>
        <v>OK</v>
      </c>
      <c r="W12" s="12" t="str">
        <f t="shared" si="15"/>
        <v>High Earner</v>
      </c>
      <c r="X12" s="12">
        <f t="shared" si="16"/>
        <v>70840</v>
      </c>
    </row>
    <row r="13" spans="1:28" x14ac:dyDescent="0.25">
      <c r="A13" s="12" t="s">
        <v>57</v>
      </c>
      <c r="B13" s="12" t="s">
        <v>58</v>
      </c>
      <c r="C13" s="12" t="s">
        <v>45</v>
      </c>
      <c r="D13" s="12">
        <v>52000</v>
      </c>
      <c r="E13" s="12">
        <v>6</v>
      </c>
      <c r="F13" s="12">
        <v>3</v>
      </c>
      <c r="G13" s="12">
        <v>78</v>
      </c>
      <c r="H13" s="12">
        <f t="shared" si="0"/>
        <v>624000</v>
      </c>
      <c r="I13" s="13">
        <f t="shared" si="1"/>
        <v>1733.3333333333333</v>
      </c>
      <c r="J13" s="13">
        <f t="shared" si="2"/>
        <v>216.66666666666666</v>
      </c>
      <c r="K13" s="12">
        <f t="shared" si="3"/>
        <v>72</v>
      </c>
      <c r="L13" s="14">
        <f t="shared" si="4"/>
        <v>20800</v>
      </c>
      <c r="M13" s="12">
        <f t="shared" si="5"/>
        <v>5200</v>
      </c>
      <c r="N13" s="12">
        <f t="shared" si="6"/>
        <v>2600</v>
      </c>
      <c r="O13" s="12">
        <f t="shared" si="7"/>
        <v>80600</v>
      </c>
      <c r="P13" s="12">
        <f t="shared" si="8"/>
        <v>6240</v>
      </c>
      <c r="Q13" s="12">
        <f t="shared" si="9"/>
        <v>200</v>
      </c>
      <c r="R13" s="12">
        <f t="shared" si="10"/>
        <v>2600</v>
      </c>
      <c r="S13" s="12">
        <f t="shared" si="11"/>
        <v>4030</v>
      </c>
      <c r="T13" s="12" t="str">
        <f t="shared" si="12"/>
        <v>Not Elligible</v>
      </c>
      <c r="U13" s="12">
        <f t="shared" si="13"/>
        <v>1000</v>
      </c>
      <c r="V13" s="12" t="str">
        <f t="shared" si="14"/>
        <v>OK</v>
      </c>
      <c r="W13" s="12" t="str">
        <f t="shared" si="15"/>
        <v>High Earner</v>
      </c>
      <c r="X13" s="12">
        <f t="shared" si="16"/>
        <v>73730</v>
      </c>
    </row>
    <row r="14" spans="1:28" x14ac:dyDescent="0.25">
      <c r="A14" s="12" t="s">
        <v>59</v>
      </c>
      <c r="B14" s="12" t="s">
        <v>60</v>
      </c>
      <c r="C14" s="12" t="s">
        <v>31</v>
      </c>
      <c r="D14" s="12">
        <v>32000</v>
      </c>
      <c r="E14" s="12">
        <v>8</v>
      </c>
      <c r="F14" s="12">
        <v>5</v>
      </c>
      <c r="G14" s="12">
        <v>100</v>
      </c>
      <c r="H14" s="12">
        <f t="shared" si="0"/>
        <v>384000</v>
      </c>
      <c r="I14" s="13">
        <f t="shared" si="1"/>
        <v>1066.6666666666667</v>
      </c>
      <c r="J14" s="13">
        <f t="shared" si="2"/>
        <v>133.33333333333334</v>
      </c>
      <c r="K14" s="12">
        <f t="shared" si="3"/>
        <v>96</v>
      </c>
      <c r="L14" s="14">
        <f t="shared" si="4"/>
        <v>12800</v>
      </c>
      <c r="M14" s="12">
        <f t="shared" si="5"/>
        <v>3200</v>
      </c>
      <c r="N14" s="12">
        <f t="shared" si="6"/>
        <v>1600</v>
      </c>
      <c r="O14" s="12">
        <f t="shared" si="7"/>
        <v>49600</v>
      </c>
      <c r="P14" s="12">
        <f t="shared" si="8"/>
        <v>3840</v>
      </c>
      <c r="Q14" s="12">
        <f t="shared" si="9"/>
        <v>150</v>
      </c>
      <c r="R14" s="12">
        <f t="shared" si="10"/>
        <v>3200</v>
      </c>
      <c r="S14" s="12">
        <f t="shared" si="11"/>
        <v>0</v>
      </c>
      <c r="T14" s="12" t="str">
        <f t="shared" si="12"/>
        <v>Elligible</v>
      </c>
      <c r="U14" s="12">
        <f t="shared" si="13"/>
        <v>0</v>
      </c>
      <c r="V14" s="12" t="str">
        <f t="shared" si="14"/>
        <v>OK</v>
      </c>
      <c r="W14" s="12" t="str">
        <f t="shared" si="15"/>
        <v>Standard</v>
      </c>
      <c r="X14" s="12">
        <f t="shared" si="16"/>
        <v>48810</v>
      </c>
    </row>
    <row r="15" spans="1:28" x14ac:dyDescent="0.25">
      <c r="A15" s="12" t="s">
        <v>61</v>
      </c>
      <c r="B15" s="12" t="s">
        <v>62</v>
      </c>
      <c r="C15" s="12" t="s">
        <v>54</v>
      </c>
      <c r="D15" s="12">
        <v>60000</v>
      </c>
      <c r="E15" s="12">
        <v>5</v>
      </c>
      <c r="F15" s="12">
        <v>5</v>
      </c>
      <c r="G15" s="12">
        <v>97</v>
      </c>
      <c r="H15" s="12">
        <f t="shared" si="0"/>
        <v>720000</v>
      </c>
      <c r="I15" s="13">
        <f t="shared" si="1"/>
        <v>2000</v>
      </c>
      <c r="J15" s="13">
        <f t="shared" si="2"/>
        <v>250</v>
      </c>
      <c r="K15" s="12">
        <f t="shared" si="3"/>
        <v>60</v>
      </c>
      <c r="L15" s="14">
        <f t="shared" si="4"/>
        <v>24000</v>
      </c>
      <c r="M15" s="12">
        <f t="shared" si="5"/>
        <v>6000</v>
      </c>
      <c r="N15" s="12">
        <f t="shared" si="6"/>
        <v>3000</v>
      </c>
      <c r="O15" s="12">
        <f t="shared" si="7"/>
        <v>93000</v>
      </c>
      <c r="P15" s="12">
        <f t="shared" si="8"/>
        <v>7200</v>
      </c>
      <c r="Q15" s="12">
        <f t="shared" si="9"/>
        <v>200</v>
      </c>
      <c r="R15" s="12">
        <f t="shared" si="10"/>
        <v>6000</v>
      </c>
      <c r="S15" s="12">
        <f t="shared" si="11"/>
        <v>0</v>
      </c>
      <c r="T15" s="12" t="str">
        <f t="shared" si="12"/>
        <v>Elligible</v>
      </c>
      <c r="U15" s="12">
        <f t="shared" si="13"/>
        <v>0</v>
      </c>
      <c r="V15" s="12" t="str">
        <f t="shared" si="14"/>
        <v>OK</v>
      </c>
      <c r="W15" s="12" t="str">
        <f t="shared" si="15"/>
        <v>High Earner</v>
      </c>
      <c r="X15" s="12">
        <f t="shared" si="16"/>
        <v>91600</v>
      </c>
    </row>
    <row r="16" spans="1:28" x14ac:dyDescent="0.25">
      <c r="A16" s="12" t="s">
        <v>63</v>
      </c>
      <c r="B16" s="12" t="s">
        <v>64</v>
      </c>
      <c r="C16" s="12" t="s">
        <v>27</v>
      </c>
      <c r="D16" s="12">
        <v>35000</v>
      </c>
      <c r="E16" s="12">
        <v>10</v>
      </c>
      <c r="F16" s="12">
        <v>3</v>
      </c>
      <c r="G16" s="12">
        <v>92</v>
      </c>
      <c r="H16" s="12">
        <f t="shared" si="0"/>
        <v>420000</v>
      </c>
      <c r="I16" s="13">
        <f t="shared" si="1"/>
        <v>1166.6666666666667</v>
      </c>
      <c r="J16" s="13">
        <f t="shared" si="2"/>
        <v>145.83333333333334</v>
      </c>
      <c r="K16" s="12">
        <f t="shared" si="3"/>
        <v>120</v>
      </c>
      <c r="L16" s="14">
        <f t="shared" si="4"/>
        <v>14000</v>
      </c>
      <c r="M16" s="12">
        <f t="shared" si="5"/>
        <v>3500</v>
      </c>
      <c r="N16" s="12">
        <f t="shared" si="6"/>
        <v>1750</v>
      </c>
      <c r="O16" s="12">
        <f t="shared" si="7"/>
        <v>54250</v>
      </c>
      <c r="P16" s="12">
        <f t="shared" si="8"/>
        <v>4200</v>
      </c>
      <c r="Q16" s="12">
        <f t="shared" si="9"/>
        <v>200</v>
      </c>
      <c r="R16" s="12">
        <f t="shared" si="10"/>
        <v>1750</v>
      </c>
      <c r="S16" s="12">
        <f t="shared" si="11"/>
        <v>0</v>
      </c>
      <c r="T16" s="12" t="str">
        <f t="shared" si="12"/>
        <v>Elligible</v>
      </c>
      <c r="U16" s="12">
        <f t="shared" si="13"/>
        <v>0</v>
      </c>
      <c r="V16" s="12" t="str">
        <f t="shared" si="14"/>
        <v>OK</v>
      </c>
      <c r="W16" s="12" t="str">
        <f t="shared" si="15"/>
        <v>Standard</v>
      </c>
      <c r="X16" s="12">
        <f t="shared" si="16"/>
        <v>51600</v>
      </c>
    </row>
    <row r="17" spans="1:24" x14ac:dyDescent="0.25">
      <c r="A17" s="12" t="s">
        <v>65</v>
      </c>
      <c r="B17" s="12" t="s">
        <v>66</v>
      </c>
      <c r="C17" s="12" t="s">
        <v>54</v>
      </c>
      <c r="D17" s="12">
        <v>42000</v>
      </c>
      <c r="E17" s="12">
        <v>3</v>
      </c>
      <c r="F17" s="12">
        <v>1</v>
      </c>
      <c r="G17" s="12">
        <v>85</v>
      </c>
      <c r="H17" s="12">
        <f t="shared" si="0"/>
        <v>504000</v>
      </c>
      <c r="I17" s="13">
        <f t="shared" si="1"/>
        <v>1400</v>
      </c>
      <c r="J17" s="13">
        <f t="shared" si="2"/>
        <v>175</v>
      </c>
      <c r="K17" s="12">
        <f t="shared" si="3"/>
        <v>36</v>
      </c>
      <c r="L17" s="14">
        <f t="shared" si="4"/>
        <v>16800</v>
      </c>
      <c r="M17" s="12">
        <f t="shared" si="5"/>
        <v>4200</v>
      </c>
      <c r="N17" s="12">
        <f t="shared" si="6"/>
        <v>2100</v>
      </c>
      <c r="O17" s="12">
        <f t="shared" si="7"/>
        <v>65100</v>
      </c>
      <c r="P17" s="12">
        <f t="shared" si="8"/>
        <v>5040</v>
      </c>
      <c r="Q17" s="12">
        <f t="shared" si="9"/>
        <v>200</v>
      </c>
      <c r="R17" s="12">
        <f t="shared" si="10"/>
        <v>0</v>
      </c>
      <c r="S17" s="12">
        <f t="shared" si="11"/>
        <v>3255</v>
      </c>
      <c r="T17" s="12" t="str">
        <f t="shared" si="12"/>
        <v>Not Elligible</v>
      </c>
      <c r="U17" s="12">
        <f t="shared" si="13"/>
        <v>0</v>
      </c>
      <c r="V17" s="12" t="str">
        <f t="shared" si="14"/>
        <v>Needs Review</v>
      </c>
      <c r="W17" s="12" t="str">
        <f t="shared" si="15"/>
        <v>High Earner</v>
      </c>
      <c r="X17" s="12">
        <f t="shared" si="16"/>
        <v>56605</v>
      </c>
    </row>
    <row r="18" spans="1:24" x14ac:dyDescent="0.25">
      <c r="A18" s="12" t="s">
        <v>67</v>
      </c>
      <c r="B18" s="12" t="s">
        <v>68</v>
      </c>
      <c r="C18" s="12" t="s">
        <v>39</v>
      </c>
      <c r="D18" s="12">
        <v>48000</v>
      </c>
      <c r="E18" s="12">
        <v>5</v>
      </c>
      <c r="F18" s="12">
        <v>2</v>
      </c>
      <c r="G18" s="12">
        <v>98</v>
      </c>
      <c r="H18" s="12">
        <f t="shared" si="0"/>
        <v>576000</v>
      </c>
      <c r="I18" s="13">
        <f t="shared" si="1"/>
        <v>1600</v>
      </c>
      <c r="J18" s="13">
        <f t="shared" si="2"/>
        <v>200</v>
      </c>
      <c r="K18" s="12">
        <f t="shared" si="3"/>
        <v>60</v>
      </c>
      <c r="L18" s="14">
        <f t="shared" si="4"/>
        <v>19200</v>
      </c>
      <c r="M18" s="12">
        <f t="shared" si="5"/>
        <v>4800</v>
      </c>
      <c r="N18" s="12">
        <f t="shared" si="6"/>
        <v>2400</v>
      </c>
      <c r="O18" s="12">
        <f t="shared" si="7"/>
        <v>74400</v>
      </c>
      <c r="P18" s="12">
        <f t="shared" si="8"/>
        <v>5760</v>
      </c>
      <c r="Q18" s="12">
        <f t="shared" si="9"/>
        <v>200</v>
      </c>
      <c r="R18" s="12">
        <f t="shared" si="10"/>
        <v>0</v>
      </c>
      <c r="S18" s="12">
        <f t="shared" si="11"/>
        <v>0</v>
      </c>
      <c r="T18" s="12" t="str">
        <f t="shared" si="12"/>
        <v>Not Elligible</v>
      </c>
      <c r="U18" s="12">
        <f t="shared" si="13"/>
        <v>0</v>
      </c>
      <c r="V18" s="12" t="str">
        <f t="shared" si="14"/>
        <v>Needs Review</v>
      </c>
      <c r="W18" s="12" t="str">
        <f t="shared" si="15"/>
        <v>High Earner</v>
      </c>
      <c r="X18" s="12">
        <f t="shared" si="16"/>
        <v>68440</v>
      </c>
    </row>
    <row r="19" spans="1:24" x14ac:dyDescent="0.25">
      <c r="A19" s="12" t="s">
        <v>69</v>
      </c>
      <c r="B19" s="12" t="s">
        <v>70</v>
      </c>
      <c r="C19" s="12" t="s">
        <v>54</v>
      </c>
      <c r="D19" s="12">
        <v>65000</v>
      </c>
      <c r="E19" s="12">
        <v>3</v>
      </c>
      <c r="F19" s="12">
        <v>4</v>
      </c>
      <c r="G19" s="12">
        <v>85</v>
      </c>
      <c r="H19" s="12">
        <f t="shared" si="0"/>
        <v>780000</v>
      </c>
      <c r="I19" s="13">
        <f t="shared" si="1"/>
        <v>2166.6666666666665</v>
      </c>
      <c r="J19" s="13">
        <f t="shared" si="2"/>
        <v>270.83333333333331</v>
      </c>
      <c r="K19" s="12">
        <f t="shared" si="3"/>
        <v>36</v>
      </c>
      <c r="L19" s="14">
        <f t="shared" si="4"/>
        <v>26000</v>
      </c>
      <c r="M19" s="12">
        <f t="shared" si="5"/>
        <v>6500</v>
      </c>
      <c r="N19" s="12">
        <f t="shared" si="6"/>
        <v>3250</v>
      </c>
      <c r="O19" s="12">
        <f t="shared" si="7"/>
        <v>100750</v>
      </c>
      <c r="P19" s="12">
        <f t="shared" si="8"/>
        <v>7800</v>
      </c>
      <c r="Q19" s="12">
        <f t="shared" si="9"/>
        <v>200</v>
      </c>
      <c r="R19" s="12">
        <f t="shared" si="10"/>
        <v>6500</v>
      </c>
      <c r="S19" s="12">
        <f t="shared" si="11"/>
        <v>5037.5</v>
      </c>
      <c r="T19" s="12" t="str">
        <f t="shared" si="12"/>
        <v>Not Elligible</v>
      </c>
      <c r="U19" s="12">
        <f t="shared" si="13"/>
        <v>0</v>
      </c>
      <c r="V19" s="12" t="str">
        <f t="shared" si="14"/>
        <v>OK</v>
      </c>
      <c r="W19" s="12" t="str">
        <f t="shared" si="15"/>
        <v>High Earner</v>
      </c>
      <c r="X19" s="12">
        <f t="shared" si="16"/>
        <v>94212.5</v>
      </c>
    </row>
    <row r="20" spans="1:24" x14ac:dyDescent="0.25">
      <c r="A20" s="12" t="s">
        <v>71</v>
      </c>
      <c r="B20" s="12" t="s">
        <v>72</v>
      </c>
      <c r="C20" s="12" t="s">
        <v>45</v>
      </c>
      <c r="D20" s="12">
        <v>52000</v>
      </c>
      <c r="E20" s="12">
        <v>8</v>
      </c>
      <c r="F20" s="12">
        <v>4</v>
      </c>
      <c r="G20" s="12">
        <v>98</v>
      </c>
      <c r="H20" s="12">
        <f t="shared" si="0"/>
        <v>624000</v>
      </c>
      <c r="I20" s="13">
        <f t="shared" si="1"/>
        <v>1733.3333333333333</v>
      </c>
      <c r="J20" s="13">
        <f t="shared" si="2"/>
        <v>216.66666666666666</v>
      </c>
      <c r="K20" s="12">
        <f t="shared" si="3"/>
        <v>96</v>
      </c>
      <c r="L20" s="14">
        <f t="shared" si="4"/>
        <v>20800</v>
      </c>
      <c r="M20" s="12">
        <f t="shared" si="5"/>
        <v>5200</v>
      </c>
      <c r="N20" s="12">
        <f t="shared" si="6"/>
        <v>2600</v>
      </c>
      <c r="O20" s="12">
        <f t="shared" si="7"/>
        <v>80600</v>
      </c>
      <c r="P20" s="12">
        <f t="shared" si="8"/>
        <v>6240</v>
      </c>
      <c r="Q20" s="12">
        <f t="shared" si="9"/>
        <v>200</v>
      </c>
      <c r="R20" s="12">
        <f t="shared" si="10"/>
        <v>5200</v>
      </c>
      <c r="S20" s="12">
        <f t="shared" si="11"/>
        <v>0</v>
      </c>
      <c r="T20" s="12" t="str">
        <f t="shared" si="12"/>
        <v>Elligible</v>
      </c>
      <c r="U20" s="12">
        <f t="shared" si="13"/>
        <v>1000</v>
      </c>
      <c r="V20" s="12" t="str">
        <f t="shared" si="14"/>
        <v>OK</v>
      </c>
      <c r="W20" s="12" t="str">
        <f t="shared" si="15"/>
        <v>High Earner</v>
      </c>
      <c r="X20" s="12">
        <f t="shared" si="16"/>
        <v>80360</v>
      </c>
    </row>
    <row r="21" spans="1:24" x14ac:dyDescent="0.25">
      <c r="A21" s="12" t="s">
        <v>73</v>
      </c>
      <c r="B21" s="12" t="s">
        <v>74</v>
      </c>
      <c r="C21" s="12" t="s">
        <v>39</v>
      </c>
      <c r="D21" s="12">
        <v>55000</v>
      </c>
      <c r="E21" s="12">
        <v>1</v>
      </c>
      <c r="F21" s="12">
        <v>4</v>
      </c>
      <c r="G21" s="12">
        <v>94</v>
      </c>
      <c r="H21" s="12">
        <f t="shared" si="0"/>
        <v>660000</v>
      </c>
      <c r="I21" s="13">
        <f t="shared" si="1"/>
        <v>1833.3333333333333</v>
      </c>
      <c r="J21" s="13">
        <f t="shared" si="2"/>
        <v>229.16666666666666</v>
      </c>
      <c r="K21" s="12">
        <f t="shared" si="3"/>
        <v>12</v>
      </c>
      <c r="L21" s="14">
        <f t="shared" si="4"/>
        <v>22000</v>
      </c>
      <c r="M21" s="12">
        <f t="shared" si="5"/>
        <v>5500</v>
      </c>
      <c r="N21" s="12">
        <f t="shared" si="6"/>
        <v>2750</v>
      </c>
      <c r="O21" s="12">
        <f t="shared" si="7"/>
        <v>85250</v>
      </c>
      <c r="P21" s="12">
        <f t="shared" si="8"/>
        <v>6600</v>
      </c>
      <c r="Q21" s="12">
        <f t="shared" si="9"/>
        <v>200</v>
      </c>
      <c r="R21" s="12">
        <f t="shared" si="10"/>
        <v>5500</v>
      </c>
      <c r="S21" s="12">
        <f t="shared" si="11"/>
        <v>0</v>
      </c>
      <c r="T21" s="12" t="str">
        <f t="shared" si="12"/>
        <v>Elligible</v>
      </c>
      <c r="U21" s="12">
        <f t="shared" si="13"/>
        <v>0</v>
      </c>
      <c r="V21" s="12" t="str">
        <f t="shared" si="14"/>
        <v>OK</v>
      </c>
      <c r="W21" s="12" t="str">
        <f t="shared" si="15"/>
        <v>High Earner</v>
      </c>
      <c r="X21" s="12">
        <f t="shared" si="16"/>
        <v>83950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showGridLines="0" workbookViewId="0">
      <selection activeCell="L13" sqref="L13"/>
    </sheetView>
  </sheetViews>
  <sheetFormatPr defaultRowHeight="15" x14ac:dyDescent="0.25"/>
  <cols>
    <col min="1" max="1" width="12.140625" bestFit="1" customWidth="1"/>
    <col min="2" max="2" width="15.42578125" customWidth="1"/>
    <col min="3" max="3" width="11.140625" bestFit="1" customWidth="1"/>
    <col min="4" max="6" width="6.42578125" bestFit="1" customWidth="1"/>
    <col min="7" max="8" width="6.85546875" bestFit="1" customWidth="1"/>
    <col min="12" max="12" width="24.28515625" customWidth="1"/>
  </cols>
  <sheetData>
    <row r="1" spans="1:13" x14ac:dyDescent="0.25">
      <c r="A1" s="22" t="s">
        <v>0</v>
      </c>
      <c r="B1" s="22" t="s">
        <v>1</v>
      </c>
      <c r="C1" s="22" t="s">
        <v>3</v>
      </c>
      <c r="D1" s="22" t="s">
        <v>89</v>
      </c>
      <c r="E1" s="22" t="s">
        <v>90</v>
      </c>
      <c r="F1" s="22" t="s">
        <v>91</v>
      </c>
      <c r="G1" s="22" t="s">
        <v>92</v>
      </c>
      <c r="H1" s="22" t="s">
        <v>93</v>
      </c>
      <c r="L1" s="23" t="s">
        <v>94</v>
      </c>
      <c r="M1" s="24">
        <v>0.06</v>
      </c>
    </row>
    <row r="2" spans="1:13" x14ac:dyDescent="0.25">
      <c r="A2" s="22"/>
      <c r="B2" s="22"/>
      <c r="C2" s="22"/>
      <c r="D2" s="22">
        <v>1</v>
      </c>
      <c r="E2" s="22">
        <v>2</v>
      </c>
      <c r="F2" s="22">
        <v>3</v>
      </c>
      <c r="G2" s="22">
        <v>4</v>
      </c>
      <c r="H2" s="22">
        <v>5</v>
      </c>
    </row>
    <row r="3" spans="1:13" x14ac:dyDescent="0.25">
      <c r="A3" s="12" t="str">
        <f>employee_data!A2</f>
        <v>EMP001</v>
      </c>
      <c r="B3" s="12" t="str">
        <f>employee_data!B2</f>
        <v>Ishaan Gupta</v>
      </c>
      <c r="C3" s="12">
        <f>employee_data!D2</f>
        <v>48000</v>
      </c>
      <c r="D3" s="12">
        <f t="shared" ref="D3:H12" si="0">$C3*(1+$M$1*D$2)</f>
        <v>50880</v>
      </c>
      <c r="E3" s="12">
        <f t="shared" si="0"/>
        <v>53760.000000000007</v>
      </c>
      <c r="F3" s="12">
        <f t="shared" si="0"/>
        <v>56640</v>
      </c>
      <c r="G3" s="12">
        <f t="shared" si="0"/>
        <v>59520</v>
      </c>
      <c r="H3" s="12">
        <f t="shared" si="0"/>
        <v>62400</v>
      </c>
    </row>
    <row r="4" spans="1:13" x14ac:dyDescent="0.25">
      <c r="A4" s="12" t="str">
        <f>employee_data!A3</f>
        <v>EMP002</v>
      </c>
      <c r="B4" s="12" t="str">
        <f>employee_data!B3</f>
        <v>Meera Chauhan</v>
      </c>
      <c r="C4" s="12">
        <f>employee_data!D3</f>
        <v>55000</v>
      </c>
      <c r="D4" s="12">
        <f t="shared" si="0"/>
        <v>58300</v>
      </c>
      <c r="E4" s="12">
        <f t="shared" si="0"/>
        <v>61600.000000000007</v>
      </c>
      <c r="F4" s="12">
        <f t="shared" si="0"/>
        <v>64900</v>
      </c>
      <c r="G4" s="12">
        <f t="shared" si="0"/>
        <v>68200</v>
      </c>
      <c r="H4" s="12">
        <f t="shared" si="0"/>
        <v>71500</v>
      </c>
    </row>
    <row r="5" spans="1:13" x14ac:dyDescent="0.25">
      <c r="A5" s="12" t="str">
        <f>employee_data!A4</f>
        <v>EMP003</v>
      </c>
      <c r="B5" s="12" t="str">
        <f>employee_data!B4</f>
        <v>Rohan Chauhan</v>
      </c>
      <c r="C5" s="12">
        <f>employee_data!D4</f>
        <v>28000</v>
      </c>
      <c r="D5" s="12">
        <f t="shared" si="0"/>
        <v>29680</v>
      </c>
      <c r="E5" s="12">
        <f t="shared" si="0"/>
        <v>31360.000000000004</v>
      </c>
      <c r="F5" s="12">
        <f t="shared" si="0"/>
        <v>33040</v>
      </c>
      <c r="G5" s="12">
        <f t="shared" si="0"/>
        <v>34720</v>
      </c>
      <c r="H5" s="12">
        <f t="shared" si="0"/>
        <v>36400</v>
      </c>
    </row>
    <row r="6" spans="1:13" x14ac:dyDescent="0.25">
      <c r="A6" s="12" t="str">
        <f>employee_data!A5</f>
        <v>EMP004</v>
      </c>
      <c r="B6" s="12" t="str">
        <f>employee_data!B5</f>
        <v>Aditi Iyer</v>
      </c>
      <c r="C6" s="12">
        <f>employee_data!D5</f>
        <v>38000</v>
      </c>
      <c r="D6" s="12">
        <f t="shared" si="0"/>
        <v>40280</v>
      </c>
      <c r="E6" s="12">
        <f t="shared" si="0"/>
        <v>42560.000000000007</v>
      </c>
      <c r="F6" s="12">
        <f t="shared" si="0"/>
        <v>44840</v>
      </c>
      <c r="G6" s="12">
        <f t="shared" si="0"/>
        <v>47120</v>
      </c>
      <c r="H6" s="12">
        <f t="shared" si="0"/>
        <v>49400</v>
      </c>
    </row>
    <row r="7" spans="1:13" x14ac:dyDescent="0.25">
      <c r="A7" s="12" t="str">
        <f>employee_data!A6</f>
        <v>EMP005</v>
      </c>
      <c r="B7" s="12" t="str">
        <f>employee_data!B6</f>
        <v>Neha Rao</v>
      </c>
      <c r="C7" s="12">
        <f>employee_data!D6</f>
        <v>28000</v>
      </c>
      <c r="D7" s="12">
        <f t="shared" si="0"/>
        <v>29680</v>
      </c>
      <c r="E7" s="12">
        <f t="shared" si="0"/>
        <v>31360.000000000004</v>
      </c>
      <c r="F7" s="12">
        <f t="shared" si="0"/>
        <v>33040</v>
      </c>
      <c r="G7" s="12">
        <f t="shared" si="0"/>
        <v>34720</v>
      </c>
      <c r="H7" s="12">
        <f t="shared" si="0"/>
        <v>36400</v>
      </c>
    </row>
    <row r="8" spans="1:13" x14ac:dyDescent="0.25">
      <c r="A8" s="12" t="str">
        <f>employee_data!A7</f>
        <v>EMP006</v>
      </c>
      <c r="B8" s="12" t="str">
        <f>employee_data!B7</f>
        <v>Diya Kapoor</v>
      </c>
      <c r="C8" s="12">
        <f>employee_data!D7</f>
        <v>28000</v>
      </c>
      <c r="D8" s="12">
        <f t="shared" si="0"/>
        <v>29680</v>
      </c>
      <c r="E8" s="12">
        <f t="shared" si="0"/>
        <v>31360.000000000004</v>
      </c>
      <c r="F8" s="12">
        <f t="shared" si="0"/>
        <v>33040</v>
      </c>
      <c r="G8" s="12">
        <f t="shared" si="0"/>
        <v>34720</v>
      </c>
      <c r="H8" s="12">
        <f t="shared" si="0"/>
        <v>36400</v>
      </c>
    </row>
    <row r="9" spans="1:13" x14ac:dyDescent="0.25">
      <c r="A9" s="12" t="str">
        <f>employee_data!A8</f>
        <v>EMP007</v>
      </c>
      <c r="B9" s="12" t="str">
        <f>employee_data!B8</f>
        <v>Aarav Das</v>
      </c>
      <c r="C9" s="12">
        <f>employee_data!D8</f>
        <v>55000</v>
      </c>
      <c r="D9" s="12">
        <f t="shared" si="0"/>
        <v>58300</v>
      </c>
      <c r="E9" s="12">
        <f t="shared" si="0"/>
        <v>61600.000000000007</v>
      </c>
      <c r="F9" s="12">
        <f t="shared" si="0"/>
        <v>64900</v>
      </c>
      <c r="G9" s="12">
        <f t="shared" si="0"/>
        <v>68200</v>
      </c>
      <c r="H9" s="12">
        <f t="shared" si="0"/>
        <v>71500</v>
      </c>
    </row>
    <row r="10" spans="1:13" x14ac:dyDescent="0.25">
      <c r="A10" s="12" t="str">
        <f>employee_data!A9</f>
        <v>EMP008</v>
      </c>
      <c r="B10" s="12" t="str">
        <f>employee_data!B9</f>
        <v>Pooja Iyer</v>
      </c>
      <c r="C10" s="12">
        <f>employee_data!D9</f>
        <v>65000</v>
      </c>
      <c r="D10" s="12">
        <f t="shared" si="0"/>
        <v>68900</v>
      </c>
      <c r="E10" s="12">
        <f t="shared" si="0"/>
        <v>72800</v>
      </c>
      <c r="F10" s="12">
        <f t="shared" si="0"/>
        <v>76700</v>
      </c>
      <c r="G10" s="12">
        <f t="shared" si="0"/>
        <v>80600</v>
      </c>
      <c r="H10" s="12">
        <f t="shared" si="0"/>
        <v>84500</v>
      </c>
    </row>
    <row r="11" spans="1:13" x14ac:dyDescent="0.25">
      <c r="A11" s="12" t="str">
        <f>employee_data!A10</f>
        <v>EMP009</v>
      </c>
      <c r="B11" s="12" t="str">
        <f>employee_data!B10</f>
        <v>Aditi Chauhan</v>
      </c>
      <c r="C11" s="12">
        <f>employee_data!D10</f>
        <v>38000</v>
      </c>
      <c r="D11" s="12">
        <f t="shared" si="0"/>
        <v>40280</v>
      </c>
      <c r="E11" s="12">
        <f t="shared" si="0"/>
        <v>42560.000000000007</v>
      </c>
      <c r="F11" s="12">
        <f t="shared" si="0"/>
        <v>44840</v>
      </c>
      <c r="G11" s="12">
        <f t="shared" si="0"/>
        <v>47120</v>
      </c>
      <c r="H11" s="12">
        <f t="shared" si="0"/>
        <v>49400</v>
      </c>
    </row>
    <row r="12" spans="1:13" x14ac:dyDescent="0.25">
      <c r="A12" s="12" t="str">
        <f>employee_data!A11</f>
        <v>EMP010</v>
      </c>
      <c r="B12" s="12" t="str">
        <f>employee_data!B11</f>
        <v>Aditi Verma</v>
      </c>
      <c r="C12" s="12">
        <f>employee_data!D11</f>
        <v>52000</v>
      </c>
      <c r="D12" s="12">
        <f t="shared" si="0"/>
        <v>55120</v>
      </c>
      <c r="E12" s="12">
        <f t="shared" si="0"/>
        <v>58240.000000000007</v>
      </c>
      <c r="F12" s="12">
        <f t="shared" si="0"/>
        <v>61360</v>
      </c>
      <c r="G12" s="12">
        <f t="shared" si="0"/>
        <v>64480</v>
      </c>
      <c r="H12" s="12">
        <f t="shared" si="0"/>
        <v>67600</v>
      </c>
    </row>
    <row r="13" spans="1:13" x14ac:dyDescent="0.25">
      <c r="A13" s="12" t="str">
        <f>employee_data!A12</f>
        <v>EMP011</v>
      </c>
      <c r="B13" s="12" t="str">
        <f>employee_data!B12</f>
        <v>Karan Iyer</v>
      </c>
      <c r="C13" s="12">
        <f>employee_data!D12</f>
        <v>48000</v>
      </c>
      <c r="D13" s="12">
        <f t="shared" ref="D13:H22" si="1">$C13*(1+$M$1*D$2)</f>
        <v>50880</v>
      </c>
      <c r="E13" s="12">
        <f t="shared" si="1"/>
        <v>53760.000000000007</v>
      </c>
      <c r="F13" s="12">
        <f t="shared" si="1"/>
        <v>56640</v>
      </c>
      <c r="G13" s="12">
        <f t="shared" si="1"/>
        <v>59520</v>
      </c>
      <c r="H13" s="12">
        <f t="shared" si="1"/>
        <v>62400</v>
      </c>
    </row>
    <row r="14" spans="1:13" x14ac:dyDescent="0.25">
      <c r="A14" s="12" t="str">
        <f>employee_data!A13</f>
        <v>EMP012</v>
      </c>
      <c r="B14" s="12" t="str">
        <f>employee_data!B13</f>
        <v>Siddharth Gupta</v>
      </c>
      <c r="C14" s="12">
        <f>employee_data!D13</f>
        <v>52000</v>
      </c>
      <c r="D14" s="12">
        <f t="shared" si="1"/>
        <v>55120</v>
      </c>
      <c r="E14" s="12">
        <f t="shared" si="1"/>
        <v>58240.000000000007</v>
      </c>
      <c r="F14" s="12">
        <f t="shared" si="1"/>
        <v>61360</v>
      </c>
      <c r="G14" s="12">
        <f t="shared" si="1"/>
        <v>64480</v>
      </c>
      <c r="H14" s="12">
        <f t="shared" si="1"/>
        <v>67600</v>
      </c>
    </row>
    <row r="15" spans="1:13" x14ac:dyDescent="0.25">
      <c r="A15" s="12" t="str">
        <f>employee_data!A14</f>
        <v>EMP013</v>
      </c>
      <c r="B15" s="12" t="str">
        <f>employee_data!B14</f>
        <v>Pooja Sharma</v>
      </c>
      <c r="C15" s="12">
        <f>employee_data!D14</f>
        <v>32000</v>
      </c>
      <c r="D15" s="12">
        <f t="shared" si="1"/>
        <v>33920</v>
      </c>
      <c r="E15" s="12">
        <f t="shared" si="1"/>
        <v>35840</v>
      </c>
      <c r="F15" s="12">
        <f t="shared" si="1"/>
        <v>37760</v>
      </c>
      <c r="G15" s="12">
        <f t="shared" si="1"/>
        <v>39680</v>
      </c>
      <c r="H15" s="12">
        <f t="shared" si="1"/>
        <v>41600</v>
      </c>
    </row>
    <row r="16" spans="1:13" x14ac:dyDescent="0.25">
      <c r="A16" s="12" t="str">
        <f>employee_data!A15</f>
        <v>EMP014</v>
      </c>
      <c r="B16" s="12" t="str">
        <f>employee_data!B15</f>
        <v>Siddharth Patel</v>
      </c>
      <c r="C16" s="12">
        <f>employee_data!D15</f>
        <v>60000</v>
      </c>
      <c r="D16" s="12">
        <f t="shared" si="1"/>
        <v>63600</v>
      </c>
      <c r="E16" s="12">
        <f t="shared" si="1"/>
        <v>67200</v>
      </c>
      <c r="F16" s="12">
        <f t="shared" si="1"/>
        <v>70800</v>
      </c>
      <c r="G16" s="12">
        <f t="shared" si="1"/>
        <v>74400</v>
      </c>
      <c r="H16" s="12">
        <f t="shared" si="1"/>
        <v>78000</v>
      </c>
    </row>
    <row r="17" spans="1:8" x14ac:dyDescent="0.25">
      <c r="A17" s="12" t="str">
        <f>employee_data!A16</f>
        <v>EMP015</v>
      </c>
      <c r="B17" s="12" t="str">
        <f>employee_data!B16</f>
        <v>Diya Iyer</v>
      </c>
      <c r="C17" s="12">
        <f>employee_data!D16</f>
        <v>35000</v>
      </c>
      <c r="D17" s="12">
        <f t="shared" si="1"/>
        <v>37100</v>
      </c>
      <c r="E17" s="12">
        <f t="shared" si="1"/>
        <v>39200.000000000007</v>
      </c>
      <c r="F17" s="12">
        <f t="shared" si="1"/>
        <v>41300</v>
      </c>
      <c r="G17" s="12">
        <f t="shared" si="1"/>
        <v>43400</v>
      </c>
      <c r="H17" s="12">
        <f t="shared" si="1"/>
        <v>45500</v>
      </c>
    </row>
    <row r="18" spans="1:8" x14ac:dyDescent="0.25">
      <c r="A18" s="12" t="str">
        <f>employee_data!A17</f>
        <v>EMP016</v>
      </c>
      <c r="B18" s="12" t="str">
        <f>employee_data!B17</f>
        <v>Priya Chauhan</v>
      </c>
      <c r="C18" s="12">
        <f>employee_data!D17</f>
        <v>42000</v>
      </c>
      <c r="D18" s="12">
        <f t="shared" si="1"/>
        <v>44520</v>
      </c>
      <c r="E18" s="12">
        <f t="shared" si="1"/>
        <v>47040.000000000007</v>
      </c>
      <c r="F18" s="12">
        <f t="shared" si="1"/>
        <v>49560</v>
      </c>
      <c r="G18" s="12">
        <f t="shared" si="1"/>
        <v>52080</v>
      </c>
      <c r="H18" s="12">
        <f t="shared" si="1"/>
        <v>54600</v>
      </c>
    </row>
    <row r="19" spans="1:8" x14ac:dyDescent="0.25">
      <c r="A19" s="12" t="str">
        <f>employee_data!A18</f>
        <v>EMP017</v>
      </c>
      <c r="B19" s="12" t="str">
        <f>employee_data!B18</f>
        <v>Aditi Joshi</v>
      </c>
      <c r="C19" s="12">
        <f>employee_data!D18</f>
        <v>48000</v>
      </c>
      <c r="D19" s="12">
        <f t="shared" si="1"/>
        <v>50880</v>
      </c>
      <c r="E19" s="12">
        <f t="shared" si="1"/>
        <v>53760.000000000007</v>
      </c>
      <c r="F19" s="12">
        <f t="shared" si="1"/>
        <v>56640</v>
      </c>
      <c r="G19" s="12">
        <f t="shared" si="1"/>
        <v>59520</v>
      </c>
      <c r="H19" s="12">
        <f t="shared" si="1"/>
        <v>62400</v>
      </c>
    </row>
    <row r="20" spans="1:8" x14ac:dyDescent="0.25">
      <c r="A20" s="12" t="str">
        <f>employee_data!A19</f>
        <v>EMP018</v>
      </c>
      <c r="B20" s="12" t="str">
        <f>employee_data!B19</f>
        <v>Vivaan Kapoor</v>
      </c>
      <c r="C20" s="12">
        <f>employee_data!D19</f>
        <v>65000</v>
      </c>
      <c r="D20" s="12">
        <f t="shared" si="1"/>
        <v>68900</v>
      </c>
      <c r="E20" s="12">
        <f t="shared" si="1"/>
        <v>72800</v>
      </c>
      <c r="F20" s="12">
        <f t="shared" si="1"/>
        <v>76700</v>
      </c>
      <c r="G20" s="12">
        <f t="shared" si="1"/>
        <v>80600</v>
      </c>
      <c r="H20" s="12">
        <f t="shared" si="1"/>
        <v>84500</v>
      </c>
    </row>
    <row r="21" spans="1:8" x14ac:dyDescent="0.25">
      <c r="A21" s="12" t="str">
        <f>employee_data!A20</f>
        <v>EMP019</v>
      </c>
      <c r="B21" s="12" t="str">
        <f>employee_data!B20</f>
        <v>Aditya Sharma</v>
      </c>
      <c r="C21" s="12">
        <f>employee_data!D20</f>
        <v>52000</v>
      </c>
      <c r="D21" s="12">
        <f t="shared" si="1"/>
        <v>55120</v>
      </c>
      <c r="E21" s="12">
        <f t="shared" si="1"/>
        <v>58240.000000000007</v>
      </c>
      <c r="F21" s="12">
        <f t="shared" si="1"/>
        <v>61360</v>
      </c>
      <c r="G21" s="12">
        <f t="shared" si="1"/>
        <v>64480</v>
      </c>
      <c r="H21" s="12">
        <f t="shared" si="1"/>
        <v>67600</v>
      </c>
    </row>
    <row r="22" spans="1:8" x14ac:dyDescent="0.25">
      <c r="A22" s="12" t="str">
        <f>employee_data!A21</f>
        <v>EMP020</v>
      </c>
      <c r="B22" s="12" t="str">
        <f>employee_data!B21</f>
        <v>Rohan Patel</v>
      </c>
      <c r="C22" s="12">
        <f>employee_data!D21</f>
        <v>55000</v>
      </c>
      <c r="D22" s="12">
        <f t="shared" si="1"/>
        <v>58300</v>
      </c>
      <c r="E22" s="12">
        <f t="shared" si="1"/>
        <v>61600.000000000007</v>
      </c>
      <c r="F22" s="12">
        <f t="shared" si="1"/>
        <v>64900</v>
      </c>
      <c r="G22" s="12">
        <f t="shared" si="1"/>
        <v>68200</v>
      </c>
      <c r="H22" s="12">
        <f t="shared" si="1"/>
        <v>71500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6"/>
  <sheetViews>
    <sheetView showGridLines="0" workbookViewId="0">
      <selection activeCell="H6" sqref="H6"/>
    </sheetView>
  </sheetViews>
  <sheetFormatPr defaultRowHeight="15" x14ac:dyDescent="0.25"/>
  <cols>
    <col min="1" max="1" width="38.28515625" customWidth="1"/>
    <col min="2" max="2" width="18.28515625" customWidth="1"/>
  </cols>
  <sheetData>
    <row r="2" spans="1:2" x14ac:dyDescent="0.25">
      <c r="A2" s="18" t="s">
        <v>75</v>
      </c>
      <c r="B2" s="18" t="s">
        <v>76</v>
      </c>
    </row>
    <row r="3" spans="1:2" x14ac:dyDescent="0.25">
      <c r="A3" s="12" t="s">
        <v>77</v>
      </c>
      <c r="B3" s="12">
        <f>SUM(employee_data!X2:X21)</f>
        <v>1362860</v>
      </c>
    </row>
    <row r="4" spans="1:2" x14ac:dyDescent="0.25">
      <c r="A4" s="12" t="s">
        <v>78</v>
      </c>
      <c r="B4" s="12">
        <f>AVERAGE(employee_data!X2:X21)</f>
        <v>68143</v>
      </c>
    </row>
    <row r="5" spans="1:2" x14ac:dyDescent="0.25">
      <c r="A5" s="12" t="s">
        <v>79</v>
      </c>
      <c r="B5" s="12">
        <f>MAX(employee_data!X2:X21)</f>
        <v>94212.5</v>
      </c>
    </row>
    <row r="6" spans="1:2" x14ac:dyDescent="0.25">
      <c r="A6" s="12" t="s">
        <v>80</v>
      </c>
      <c r="B6" s="12">
        <f>MIN(employee_data!X2:X21)</f>
        <v>38720</v>
      </c>
    </row>
    <row r="7" spans="1:2" x14ac:dyDescent="0.25">
      <c r="A7" s="12" t="s">
        <v>81</v>
      </c>
      <c r="B7" s="12">
        <f>COUNTIF(employee_data!T2:T21,"Elligible")</f>
        <v>12</v>
      </c>
    </row>
    <row r="10" spans="1:2" x14ac:dyDescent="0.25">
      <c r="A10" s="20" t="s">
        <v>82</v>
      </c>
      <c r="B10" s="21" t="s">
        <v>83</v>
      </c>
    </row>
    <row r="11" spans="1:2" x14ac:dyDescent="0.25">
      <c r="A11" t="s">
        <v>84</v>
      </c>
      <c r="B11" t="s">
        <v>85</v>
      </c>
    </row>
    <row r="12" spans="1:2" x14ac:dyDescent="0.25">
      <c r="A12" t="s">
        <v>35</v>
      </c>
      <c r="B12">
        <f>AVERAGEIF(employee_data!C2:C21,A12,employee_data!X2:X21)</f>
        <v>43690</v>
      </c>
    </row>
    <row r="13" spans="1:2" x14ac:dyDescent="0.25">
      <c r="A13" t="s">
        <v>39</v>
      </c>
      <c r="B13">
        <f>AVERAGEIF(employee_data!C3:C22,A13,employee_data!X3:X22)</f>
        <v>73313.75</v>
      </c>
    </row>
    <row r="14" spans="1:2" x14ac:dyDescent="0.25">
      <c r="A14" t="s">
        <v>45</v>
      </c>
      <c r="B14">
        <f>AVERAGEIF(employee_data!C4:C23,A14,employee_data!X4:X23)</f>
        <v>64270</v>
      </c>
    </row>
    <row r="15" spans="1:2" x14ac:dyDescent="0.25">
      <c r="A15" t="s">
        <v>31</v>
      </c>
      <c r="B15">
        <f>AVERAGEIF(employee_data!C5:C24,A15,employee_data!X5:X24)</f>
        <v>45750</v>
      </c>
    </row>
    <row r="16" spans="1:2" x14ac:dyDescent="0.25">
      <c r="A16" t="s">
        <v>54</v>
      </c>
      <c r="B16">
        <f>AVERAGEIF(employee_data!C6:C25,A16,employee_data!X6:X25)</f>
        <v>77717.5</v>
      </c>
    </row>
    <row r="17" spans="1:2" x14ac:dyDescent="0.25">
      <c r="A17" t="s">
        <v>27</v>
      </c>
      <c r="B17">
        <f>AVERAGEIF(employee_data!C7:C26,A17,employee_data!X7:X26)</f>
        <v>51600</v>
      </c>
    </row>
    <row r="20" spans="1:2" x14ac:dyDescent="0.25">
      <c r="A20" s="19" t="s">
        <v>86</v>
      </c>
      <c r="B20" s="19"/>
    </row>
    <row r="21" spans="1:2" x14ac:dyDescent="0.25">
      <c r="A21" s="18" t="s">
        <v>87</v>
      </c>
      <c r="B21" s="18" t="s">
        <v>88</v>
      </c>
    </row>
    <row r="22" spans="1:2" x14ac:dyDescent="0.25">
      <c r="A22" s="17">
        <v>1</v>
      </c>
      <c r="B22" s="17">
        <f>COUNTIF(employee_data!$F$2:$F$21,A22)</f>
        <v>3</v>
      </c>
    </row>
    <row r="23" spans="1:2" x14ac:dyDescent="0.25">
      <c r="A23" s="17">
        <v>2</v>
      </c>
      <c r="B23" s="17">
        <f>COUNTIF(employee_data!$F$2:$F$21,A23)</f>
        <v>1</v>
      </c>
    </row>
    <row r="24" spans="1:2" x14ac:dyDescent="0.25">
      <c r="A24" s="17">
        <v>3</v>
      </c>
      <c r="B24" s="17">
        <f>COUNTIF(employee_data!$F$2:$F$21,A24)</f>
        <v>5</v>
      </c>
    </row>
    <row r="25" spans="1:2" x14ac:dyDescent="0.25">
      <c r="A25" s="17">
        <v>4</v>
      </c>
      <c r="B25" s="17">
        <f>COUNTIF(employee_data!$F$2:$F$21,A25)</f>
        <v>5</v>
      </c>
    </row>
    <row r="26" spans="1:2" x14ac:dyDescent="0.25">
      <c r="A26" s="17">
        <v>5</v>
      </c>
      <c r="B26" s="17">
        <f>COUNTIF(employee_data!$F$2:$F$21,A26)</f>
        <v>6</v>
      </c>
    </row>
  </sheetData>
  <mergeCells count="1">
    <mergeCell ref="A20:B2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1EF-305A-448C-9A13-1AB8BEBA029B}">
  <dimension ref="A1:J24"/>
  <sheetViews>
    <sheetView showGridLines="0" zoomScaleNormal="100" workbookViewId="0">
      <pane ySplit="5" topLeftCell="A6" activePane="bottomLeft" state="frozen"/>
      <selection pane="bottomLeft" activeCell="E20" sqref="E20"/>
    </sheetView>
  </sheetViews>
  <sheetFormatPr defaultColWidth="8.5703125" defaultRowHeight="15" x14ac:dyDescent="0.25"/>
  <cols>
    <col min="1" max="1" width="14" style="2" customWidth="1"/>
    <col min="2" max="2" width="16" style="2" customWidth="1"/>
    <col min="3" max="3" width="18" style="2" bestFit="1" customWidth="1"/>
    <col min="4" max="4" width="22.140625" style="2" bestFit="1" customWidth="1"/>
    <col min="5" max="5" width="46" style="2" customWidth="1"/>
    <col min="6" max="6" width="8.5703125" style="2"/>
    <col min="7" max="8" width="14" style="2" customWidth="1"/>
    <col min="9" max="9" width="16" style="2" customWidth="1"/>
    <col min="10" max="16384" width="8.5703125" style="2"/>
  </cols>
  <sheetData>
    <row r="1" spans="1:10" ht="16.5" x14ac:dyDescent="0.25">
      <c r="A1" s="10" t="s">
        <v>95</v>
      </c>
      <c r="B1" s="10"/>
      <c r="C1" s="10"/>
      <c r="D1" s="10"/>
      <c r="E1" s="10"/>
    </row>
    <row r="3" spans="1:10" x14ac:dyDescent="0.25">
      <c r="A3" s="11" t="s">
        <v>96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5">
      <c r="G4" s="9" t="s">
        <v>97</v>
      </c>
    </row>
    <row r="5" spans="1:10" x14ac:dyDescent="0.25">
      <c r="A5" s="8" t="s">
        <v>2</v>
      </c>
      <c r="B5" s="8" t="s">
        <v>98</v>
      </c>
      <c r="C5" s="8" t="s">
        <v>99</v>
      </c>
      <c r="D5" s="8" t="s">
        <v>100</v>
      </c>
      <c r="E5" s="8" t="s">
        <v>101</v>
      </c>
      <c r="G5" s="8" t="s">
        <v>2</v>
      </c>
      <c r="H5" s="8" t="s">
        <v>3</v>
      </c>
      <c r="I5" s="8" t="s">
        <v>102</v>
      </c>
    </row>
    <row r="6" spans="1:10" ht="38.25" x14ac:dyDescent="0.25">
      <c r="A6" s="6" t="s">
        <v>35</v>
      </c>
      <c r="B6" s="5">
        <f>SUM(H6:H23)</f>
        <v>831000</v>
      </c>
      <c r="C6" s="5">
        <f>B6*0.1</f>
        <v>83100</v>
      </c>
      <c r="D6" s="5">
        <f>C6/1</f>
        <v>83100</v>
      </c>
      <c r="E6" s="4" t="s">
        <v>103</v>
      </c>
      <c r="G6" s="2" t="s">
        <v>35</v>
      </c>
      <c r="H6" s="3">
        <v>28000</v>
      </c>
      <c r="I6" s="2">
        <v>1</v>
      </c>
    </row>
    <row r="7" spans="1:10" ht="25.5" x14ac:dyDescent="0.25">
      <c r="A7" s="2" t="s">
        <v>39</v>
      </c>
      <c r="B7" s="3">
        <f>SUMIF($G$7:$G$23,A7,$H$7:$H$23)</f>
        <v>206000</v>
      </c>
      <c r="C7" s="3">
        <f>B7*0.1</f>
        <v>20600</v>
      </c>
      <c r="D7" s="3">
        <f>C7/SUM(I7:I10)</f>
        <v>2575</v>
      </c>
      <c r="E7" s="7" t="s">
        <v>104</v>
      </c>
      <c r="G7" s="2" t="s">
        <v>39</v>
      </c>
      <c r="H7" s="3">
        <v>38000</v>
      </c>
      <c r="I7" s="2">
        <v>5</v>
      </c>
    </row>
    <row r="8" spans="1:10" ht="25.5" x14ac:dyDescent="0.25">
      <c r="A8" s="6" t="s">
        <v>45</v>
      </c>
      <c r="B8" s="3">
        <f>SUMIF($G$7:$G$23,A8,$H$7:$H$23)</f>
        <v>132000</v>
      </c>
      <c r="C8" s="5">
        <f>B8*0.1</f>
        <v>13200</v>
      </c>
      <c r="D8" s="5">
        <f>C8/3</f>
        <v>4400</v>
      </c>
      <c r="E8" s="4" t="s">
        <v>105</v>
      </c>
      <c r="G8" s="2" t="s">
        <v>39</v>
      </c>
      <c r="H8" s="3">
        <v>55000</v>
      </c>
      <c r="I8" s="2">
        <v>1</v>
      </c>
    </row>
    <row r="9" spans="1:10" ht="38.25" x14ac:dyDescent="0.25">
      <c r="A9" s="2" t="s">
        <v>31</v>
      </c>
      <c r="B9" s="3">
        <f>SUMIF($G$7:$G$23,A9,$H$7:$H$23)</f>
        <v>115000</v>
      </c>
      <c r="C9" s="3">
        <f>B9*0.1</f>
        <v>11500</v>
      </c>
      <c r="D9" s="3">
        <f>C9/3</f>
        <v>3833.3333333333335</v>
      </c>
      <c r="E9" s="7" t="s">
        <v>106</v>
      </c>
      <c r="G9" s="2" t="s">
        <v>39</v>
      </c>
      <c r="H9" s="3">
        <v>65000</v>
      </c>
      <c r="I9" s="2">
        <v>1</v>
      </c>
    </row>
    <row r="10" spans="1:10" ht="38.25" x14ac:dyDescent="0.25">
      <c r="A10" s="6" t="s">
        <v>54</v>
      </c>
      <c r="B10" s="3">
        <f>SUMIF($G$7:$G$23,A10,$H$7:$H$23)</f>
        <v>267000</v>
      </c>
      <c r="C10" s="5">
        <f>B10*0.1</f>
        <v>26700</v>
      </c>
      <c r="D10" s="5">
        <f>C10/5</f>
        <v>5340</v>
      </c>
      <c r="E10" s="4" t="s">
        <v>107</v>
      </c>
      <c r="G10" s="2" t="s">
        <v>39</v>
      </c>
      <c r="H10" s="3">
        <v>48000</v>
      </c>
      <c r="I10" s="2">
        <v>1</v>
      </c>
    </row>
    <row r="11" spans="1:10" x14ac:dyDescent="0.25">
      <c r="G11" s="2" t="s">
        <v>45</v>
      </c>
      <c r="H11" s="3">
        <v>28000</v>
      </c>
      <c r="I11" s="2">
        <v>1</v>
      </c>
    </row>
    <row r="12" spans="1:10" x14ac:dyDescent="0.25">
      <c r="G12" s="2" t="s">
        <v>45</v>
      </c>
      <c r="H12" s="3">
        <v>52000</v>
      </c>
      <c r="I12" s="2">
        <v>2</v>
      </c>
    </row>
    <row r="13" spans="1:10" x14ac:dyDescent="0.25">
      <c r="G13" s="2" t="s">
        <v>45</v>
      </c>
      <c r="H13" s="3">
        <v>52000</v>
      </c>
      <c r="I13" s="2">
        <v>0</v>
      </c>
    </row>
    <row r="14" spans="1:10" x14ac:dyDescent="0.25">
      <c r="G14" s="2" t="s">
        <v>31</v>
      </c>
      <c r="H14" s="3">
        <v>55000</v>
      </c>
      <c r="I14" s="2">
        <v>1</v>
      </c>
    </row>
    <row r="15" spans="1:10" x14ac:dyDescent="0.25">
      <c r="G15" s="2" t="s">
        <v>31</v>
      </c>
      <c r="H15" s="3">
        <v>28000</v>
      </c>
      <c r="I15" s="2">
        <v>1</v>
      </c>
    </row>
    <row r="16" spans="1:10" x14ac:dyDescent="0.25">
      <c r="G16" s="2" t="s">
        <v>31</v>
      </c>
      <c r="H16" s="3">
        <v>32000</v>
      </c>
      <c r="I16" s="2">
        <v>1</v>
      </c>
    </row>
    <row r="17" spans="7:9" x14ac:dyDescent="0.25">
      <c r="G17" s="2" t="s">
        <v>54</v>
      </c>
      <c r="H17" s="3">
        <v>52000</v>
      </c>
      <c r="I17" s="2">
        <v>1</v>
      </c>
    </row>
    <row r="18" spans="7:9" x14ac:dyDescent="0.25">
      <c r="G18" s="2" t="s">
        <v>54</v>
      </c>
      <c r="H18" s="3">
        <v>48000</v>
      </c>
      <c r="I18" s="2">
        <v>1</v>
      </c>
    </row>
    <row r="19" spans="7:9" x14ac:dyDescent="0.25">
      <c r="G19" s="2" t="s">
        <v>54</v>
      </c>
      <c r="H19" s="3">
        <v>60000</v>
      </c>
      <c r="I19" s="2">
        <v>1</v>
      </c>
    </row>
    <row r="20" spans="7:9" x14ac:dyDescent="0.25">
      <c r="G20" s="2" t="s">
        <v>54</v>
      </c>
      <c r="H20" s="3">
        <v>42000</v>
      </c>
      <c r="I20" s="2">
        <v>1</v>
      </c>
    </row>
    <row r="21" spans="7:9" x14ac:dyDescent="0.25">
      <c r="G21" s="2" t="s">
        <v>54</v>
      </c>
      <c r="H21" s="3">
        <v>65000</v>
      </c>
      <c r="I21" s="2">
        <v>1</v>
      </c>
    </row>
    <row r="22" spans="7:9" x14ac:dyDescent="0.25">
      <c r="G22" s="2" t="s">
        <v>27</v>
      </c>
      <c r="H22" s="3">
        <v>48000</v>
      </c>
      <c r="I22" s="2">
        <v>1</v>
      </c>
    </row>
    <row r="23" spans="7:9" x14ac:dyDescent="0.25">
      <c r="G23" s="2" t="s">
        <v>27</v>
      </c>
      <c r="H23" s="3">
        <v>35000</v>
      </c>
      <c r="I23" s="2">
        <v>1</v>
      </c>
    </row>
    <row r="24" spans="7:9" x14ac:dyDescent="0.25">
      <c r="H24" s="3"/>
    </row>
  </sheetData>
  <mergeCells count="2">
    <mergeCell ref="A1:E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7DC6-CDF6-4056-B7B2-E659C93470DD}">
  <dimension ref="A4:A18"/>
  <sheetViews>
    <sheetView showGridLines="0" tabSelected="1" workbookViewId="0">
      <selection activeCell="A12" sqref="A12"/>
    </sheetView>
  </sheetViews>
  <sheetFormatPr defaultRowHeight="15" x14ac:dyDescent="0.25"/>
  <cols>
    <col min="1" max="1" width="105.85546875" customWidth="1"/>
  </cols>
  <sheetData>
    <row r="4" spans="1:1" x14ac:dyDescent="0.25">
      <c r="A4" s="16"/>
    </row>
    <row r="5" spans="1:1" x14ac:dyDescent="0.25">
      <c r="A5" s="25" t="s">
        <v>121</v>
      </c>
    </row>
    <row r="6" spans="1:1" x14ac:dyDescent="0.25">
      <c r="A6" s="12" t="s">
        <v>108</v>
      </c>
    </row>
    <row r="7" spans="1:1" x14ac:dyDescent="0.25">
      <c r="A7" s="12" t="s">
        <v>109</v>
      </c>
    </row>
    <row r="8" spans="1:1" x14ac:dyDescent="0.25">
      <c r="A8" s="12" t="s">
        <v>110</v>
      </c>
    </row>
    <row r="9" spans="1:1" x14ac:dyDescent="0.25">
      <c r="A9" s="12" t="s">
        <v>111</v>
      </c>
    </row>
    <row r="10" spans="1:1" x14ac:dyDescent="0.25">
      <c r="A10" s="12" t="s">
        <v>112</v>
      </c>
    </row>
    <row r="11" spans="1:1" x14ac:dyDescent="0.25">
      <c r="A11" s="12" t="s">
        <v>113</v>
      </c>
    </row>
    <row r="12" spans="1:1" x14ac:dyDescent="0.25">
      <c r="A12" s="12" t="s">
        <v>114</v>
      </c>
    </row>
    <row r="13" spans="1:1" x14ac:dyDescent="0.25">
      <c r="A13" s="12" t="s">
        <v>115</v>
      </c>
    </row>
    <row r="14" spans="1:1" x14ac:dyDescent="0.25">
      <c r="A14" s="12" t="s">
        <v>116</v>
      </c>
    </row>
    <row r="15" spans="1:1" x14ac:dyDescent="0.25">
      <c r="A15" s="12" t="s">
        <v>117</v>
      </c>
    </row>
    <row r="16" spans="1:1" x14ac:dyDescent="0.25">
      <c r="A16" s="12" t="s">
        <v>118</v>
      </c>
    </row>
    <row r="17" spans="1:1" x14ac:dyDescent="0.25">
      <c r="A17" s="12" t="s">
        <v>119</v>
      </c>
    </row>
    <row r="18" spans="1:1" x14ac:dyDescent="0.25">
      <c r="A18" s="12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be7388-b076-401e-8b30-41023147d9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E2A6CFB12E5469BC53FE4417C91C8" ma:contentTypeVersion="8" ma:contentTypeDescription="Create a new document." ma:contentTypeScope="" ma:versionID="cf7bffdde116176664290800772524fb">
  <xsd:schema xmlns:xsd="http://www.w3.org/2001/XMLSchema" xmlns:xs="http://www.w3.org/2001/XMLSchema" xmlns:p="http://schemas.microsoft.com/office/2006/metadata/properties" xmlns:ns3="80be7388-b076-401e-8b30-41023147d9c5" targetNamespace="http://schemas.microsoft.com/office/2006/metadata/properties" ma:root="true" ma:fieldsID="613c02a257b336e33d8c5e972a79aa21" ns3:_="">
    <xsd:import namespace="80be7388-b076-401e-8b30-41023147d9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e7388-b076-401e-8b30-41023147d9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6CD1-780D-49D5-B543-E9C37DD6AD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39AD42-3FA0-4C3B-8D17-BEFF16D4F146}">
  <ds:schemaRefs>
    <ds:schemaRef ds:uri="http://schemas.microsoft.com/office/2006/metadata/properties"/>
    <ds:schemaRef ds:uri="http://schemas.microsoft.com/office/infopath/2007/PartnerControls"/>
    <ds:schemaRef ds:uri="80be7388-b076-401e-8b30-41023147d9c5"/>
  </ds:schemaRefs>
</ds:datastoreItem>
</file>

<file path=customXml/itemProps3.xml><?xml version="1.0" encoding="utf-8"?>
<ds:datastoreItem xmlns:ds="http://schemas.openxmlformats.org/officeDocument/2006/customXml" ds:itemID="{6B5D913E-5B99-4638-86E0-2B8A9CE50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e7388-b076-401e-8b30-41023147d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employee_data</vt:lpstr>
      <vt:lpstr>Projection</vt:lpstr>
      <vt:lpstr>Summary</vt:lpstr>
      <vt:lpstr>Fix This 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Mpstme Student</dc:creator>
  <cp:keywords/>
  <dc:description/>
  <cp:lastModifiedBy>Aditya</cp:lastModifiedBy>
  <cp:revision/>
  <dcterms:created xsi:type="dcterms:W3CDTF">2026-08-03T03:20:16Z</dcterms:created>
  <dcterms:modified xsi:type="dcterms:W3CDTF">2026-08-09T14:22:04Z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0x01010053AE2A6CFB12E5469BC53FE4417C91C8</vt:lpwstr>
  </property>
</Properties>
</file>