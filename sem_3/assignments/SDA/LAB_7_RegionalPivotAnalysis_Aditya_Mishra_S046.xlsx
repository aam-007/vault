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Users/adityamishra/uni/sem 3/SDA/LAB 7/"/>
    </mc:Choice>
  </mc:AlternateContent>
  <xr:revisionPtr revIDLastSave="1" documentId="13_ncr:1_{622F87BC-2782-7A4F-B850-A962EE58582C}" xr6:coauthVersionLast="47" xr6:coauthVersionMax="47" xr10:uidLastSave="{B0F50E3D-AB02-4E01-9EF4-49DDD318752E}"/>
  <bookViews>
    <workbookView xWindow="0" yWindow="0" windowWidth="32740" windowHeight="20480" xr2:uid="{00000000-000D-0000-FFFF-FFFF00000000}"/>
  </bookViews>
  <sheets>
    <sheet name="pivotAnalysis" sheetId="2" r:id="rId1"/>
    <sheet name="notes" sheetId="8" r:id="rId2"/>
    <sheet name="East" sheetId="16" r:id="rId3"/>
    <sheet name="North" sheetId="15" r:id="rId4"/>
    <sheet name="South" sheetId="14" r:id="rId5"/>
    <sheet name="West" sheetId="13" r:id="rId6"/>
    <sheet name="pivotByDate" sheetId="3" r:id="rId7"/>
    <sheet name="pivotByValue" sheetId="4" r:id="rId8"/>
    <sheet name="regionXTotal" sheetId="9" r:id="rId9"/>
    <sheet name="pivotStats" sheetId="12" r:id="rId10"/>
    <sheet name="regional_sales" sheetId="1" r:id="rId11"/>
  </sheets>
  <definedNames>
    <definedName name="NativeTimeline_Date">#N/A</definedName>
    <definedName name="Slicer_Customer_Type">#N/A</definedName>
    <definedName name="Slicer_Months__Date">#N/A</definedName>
    <definedName name="Slicer_Quarters__Date">#N/A</definedName>
    <definedName name="Slicer_Region">#N/A</definedName>
  </definedNames>
  <calcPr calcId="191028"/>
  <pivotCaches>
    <pivotCache cacheId="418"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9" l="1"/>
</calcChain>
</file>

<file path=xl/sharedStrings.xml><?xml version="1.0" encoding="utf-8"?>
<sst xmlns="http://schemas.openxmlformats.org/spreadsheetml/2006/main" count="1716" uniqueCount="329">
  <si>
    <t>Customer Type</t>
  </si>
  <si>
    <t>New</t>
  </si>
  <si>
    <t>Region</t>
  </si>
  <si>
    <t>North</t>
  </si>
  <si>
    <t>Row Labels</t>
  </si>
  <si>
    <t>Sum of Total Sales</t>
  </si>
  <si>
    <t>Average of Total Sales2</t>
  </si>
  <si>
    <t>Max. of Total Sales2</t>
  </si>
  <si>
    <t>Min. of Total Sales2</t>
  </si>
  <si>
    <t>Sum of avg price per unit</t>
  </si>
  <si>
    <t>Apparel</t>
  </si>
  <si>
    <t>Beauty</t>
  </si>
  <si>
    <t>Electronics</t>
  </si>
  <si>
    <t>Home &amp; Kitchen</t>
  </si>
  <si>
    <t>Sports</t>
  </si>
  <si>
    <t>Stationery</t>
  </si>
  <si>
    <t>Grand Total</t>
  </si>
  <si>
    <t>A Filters-area field filters the entire PivotTable report at once, while a Label or Value Filter only controls which items appear within a specific Rows or Columns field.</t>
  </si>
  <si>
    <t>Note on various designs</t>
  </si>
  <si>
    <t>Dragging across consecutive months selects the entire continuous date range at once, while clicking a single block selects only that one month.</t>
  </si>
  <si>
    <t>A Timeline allows you to click and drag across a continuous range of dates, such as several consecutive months; a grouped-field Slicer generally requires selecting individual grouped items rather than dragging across a continuous time range.</t>
  </si>
  <si>
    <t>Sheets created: 4</t>
  </si>
  <si>
    <r>
      <t xml:space="preserve">Excel automatically creates a </t>
    </r>
    <r>
      <rPr>
        <b/>
        <sz val="11"/>
        <color theme="1"/>
        <rFont val="Calibri"/>
        <family val="2"/>
        <scheme val="minor"/>
      </rPr>
      <t>separate worksheet for each Region</t>
    </r>
    <r>
      <rPr>
        <sz val="11"/>
        <color theme="1"/>
        <rFont val="Calibri"/>
        <family val="2"/>
        <scheme val="minor"/>
      </rPr>
      <t>, with each sheet containing a copy of the PivotTable filtered to that specific region.</t>
    </r>
  </si>
  <si>
    <r>
      <t xml:space="preserve">This differs from manually applying a filter because a manual filter only changes the </t>
    </r>
    <r>
      <rPr>
        <b/>
        <sz val="11"/>
        <color theme="1"/>
        <rFont val="Calibri"/>
        <family val="2"/>
        <scheme val="minor"/>
      </rPr>
      <t>single existing PivotTable</t>
    </r>
    <r>
      <rPr>
        <sz val="11"/>
        <color theme="1"/>
        <rFont val="Calibri"/>
        <family val="2"/>
        <scheme val="minor"/>
      </rPr>
      <t xml:space="preserve">, whereas </t>
    </r>
    <r>
      <rPr>
        <b/>
        <sz val="11"/>
        <color theme="1"/>
        <rFont val="Calibri"/>
        <family val="2"/>
        <scheme val="minor"/>
      </rPr>
      <t>Show Report Filter Pages generates multiple filtered PivotTables on separate sheets at once</t>
    </r>
    <r>
      <rPr>
        <sz val="11"/>
        <color theme="1"/>
        <rFont val="Calibri"/>
        <family val="2"/>
        <scheme val="minor"/>
      </rPr>
      <t>.</t>
    </r>
  </si>
  <si>
    <t>East</t>
  </si>
  <si>
    <t>Qtr1</t>
  </si>
  <si>
    <t>Jan</t>
  </si>
  <si>
    <t>Feb</t>
  </si>
  <si>
    <t>Mar</t>
  </si>
  <si>
    <t>Qtr2</t>
  </si>
  <si>
    <t>Apr</t>
  </si>
  <si>
    <t>May</t>
  </si>
  <si>
    <t>Jun</t>
  </si>
  <si>
    <t>Qtr3</t>
  </si>
  <si>
    <t>Jul</t>
  </si>
  <si>
    <t>Aug</t>
  </si>
  <si>
    <t>Sep</t>
  </si>
  <si>
    <t>Qtr4</t>
  </si>
  <si>
    <t>Oct</t>
  </si>
  <si>
    <t>Nov</t>
  </si>
  <si>
    <t>Dec</t>
  </si>
  <si>
    <t>South</t>
  </si>
  <si>
    <t>West</t>
  </si>
  <si>
    <t>(All)</t>
  </si>
  <si>
    <t>Quarters (Date)</t>
  </si>
  <si>
    <t>Months (Date)</t>
  </si>
  <si>
    <t>Total</t>
  </si>
  <si>
    <t>Qtr1 Total</t>
  </si>
  <si>
    <t>Qtr2 Total</t>
  </si>
  <si>
    <t>Qtr3 Total</t>
  </si>
  <si>
    <t>Qtr4 Total</t>
  </si>
  <si>
    <t>Count of Order ID</t>
  </si>
  <si>
    <t>0-5000</t>
  </si>
  <si>
    <t>5000-10000</t>
  </si>
  <si>
    <t>10000-15000</t>
  </si>
  <si>
    <t>15000-20000</t>
  </si>
  <si>
    <t>20000-25000</t>
  </si>
  <si>
    <t>Column Labels</t>
  </si>
  <si>
    <t>Returning</t>
  </si>
  <si>
    <t>Count of Total Sales</t>
  </si>
  <si>
    <t>Max. of Total Sales3</t>
  </si>
  <si>
    <t>Min. of Total Sales4</t>
  </si>
  <si>
    <t>Order ID</t>
  </si>
  <si>
    <t>Date</t>
  </si>
  <si>
    <t>State</t>
  </si>
  <si>
    <t>Category</t>
  </si>
  <si>
    <t>Product Name</t>
  </si>
  <si>
    <t>Salesperson</t>
  </si>
  <si>
    <t>Qty</t>
  </si>
  <si>
    <t>Unit Price</t>
  </si>
  <si>
    <t>Total Sales</t>
  </si>
  <si>
    <t>ORD0001</t>
  </si>
  <si>
    <t>West Bengal</t>
  </si>
  <si>
    <t>Cotton T-Shirt</t>
  </si>
  <si>
    <t>Diya Patel</t>
  </si>
  <si>
    <t>ORD0002</t>
  </si>
  <si>
    <t>Karnataka</t>
  </si>
  <si>
    <t>Running Shoes</t>
  </si>
  <si>
    <t>Aarav Sharma</t>
  </si>
  <si>
    <t>ORD0003</t>
  </si>
  <si>
    <t>Yoga Mat</t>
  </si>
  <si>
    <t>Rohan Verma</t>
  </si>
  <si>
    <t>ORD0004</t>
  </si>
  <si>
    <t>Odisha</t>
  </si>
  <si>
    <t>Priya Iyer</t>
  </si>
  <si>
    <t>ORD0005</t>
  </si>
  <si>
    <t>Rajasthan</t>
  </si>
  <si>
    <t>Table Lamp</t>
  </si>
  <si>
    <t>ORD0006</t>
  </si>
  <si>
    <t>Uttar Pradesh</t>
  </si>
  <si>
    <t>Face Wash</t>
  </si>
  <si>
    <t>ORD0007</t>
  </si>
  <si>
    <t>Punjab</t>
  </si>
  <si>
    <t>Cricket Bat</t>
  </si>
  <si>
    <t>Siddharth Nair</t>
  </si>
  <si>
    <t>ORD0008</t>
  </si>
  <si>
    <t>Tamil Nadu</t>
  </si>
  <si>
    <t>Wireless Mouse</t>
  </si>
  <si>
    <t>ORD0009</t>
  </si>
  <si>
    <t>Ananya Rao</t>
  </si>
  <si>
    <t>ORD0010</t>
  </si>
  <si>
    <t>Delhi</t>
  </si>
  <si>
    <t>Sketch Book</t>
  </si>
  <si>
    <t>ORD0011</t>
  </si>
  <si>
    <t>ORD0012</t>
  </si>
  <si>
    <t>ORD0013</t>
  </si>
  <si>
    <t>ORD0014</t>
  </si>
  <si>
    <t>Gujarat</t>
  </si>
  <si>
    <t>ORD0015</t>
  </si>
  <si>
    <t>ORD0016</t>
  </si>
  <si>
    <t>Desk Lamp</t>
  </si>
  <si>
    <t>ORD0017</t>
  </si>
  <si>
    <t>Moisturizer</t>
  </si>
  <si>
    <t>ORD0018</t>
  </si>
  <si>
    <t>Gel Pen Set</t>
  </si>
  <si>
    <t>ORD0019</t>
  </si>
  <si>
    <t>ORD0020</t>
  </si>
  <si>
    <t>ORD0021</t>
  </si>
  <si>
    <t>ORD0022</t>
  </si>
  <si>
    <t>Formal Shirt</t>
  </si>
  <si>
    <t>Neha Reddy</t>
  </si>
  <si>
    <t>ORD0023</t>
  </si>
  <si>
    <t>Maharashtra</t>
  </si>
  <si>
    <t>Non-Stick Pan</t>
  </si>
  <si>
    <t>ORD0024</t>
  </si>
  <si>
    <t>ORD0025</t>
  </si>
  <si>
    <t>ORD0026</t>
  </si>
  <si>
    <t>ORD0027</t>
  </si>
  <si>
    <t>ORD0028</t>
  </si>
  <si>
    <t>Lipstick</t>
  </si>
  <si>
    <t>ORD0029</t>
  </si>
  <si>
    <t>ORD0030</t>
  </si>
  <si>
    <t>Notebook Pack</t>
  </si>
  <si>
    <t>ORD0031</t>
  </si>
  <si>
    <t>ORD0032</t>
  </si>
  <si>
    <t>Karan Gupta</t>
  </si>
  <si>
    <t>ORD0033</t>
  </si>
  <si>
    <t>ORD0034</t>
  </si>
  <si>
    <t>ORD0035</t>
  </si>
  <si>
    <t>ORD0036</t>
  </si>
  <si>
    <t>ORD0037</t>
  </si>
  <si>
    <t>ORD0038</t>
  </si>
  <si>
    <t>Denim Jeans</t>
  </si>
  <si>
    <t>ORD0039</t>
  </si>
  <si>
    <t>ORD0040</t>
  </si>
  <si>
    <t>ORD0041</t>
  </si>
  <si>
    <t>ORD0042</t>
  </si>
  <si>
    <t>Telangana</t>
  </si>
  <si>
    <t>ORD0043</t>
  </si>
  <si>
    <t>ORD0044</t>
  </si>
  <si>
    <t>ORD0045</t>
  </si>
  <si>
    <t>ORD0046</t>
  </si>
  <si>
    <t>ORD0047</t>
  </si>
  <si>
    <t>ORD0048</t>
  </si>
  <si>
    <t>ORD0049</t>
  </si>
  <si>
    <t>ORD0050</t>
  </si>
  <si>
    <t>ORD0051</t>
  </si>
  <si>
    <t>ORD0052</t>
  </si>
  <si>
    <t>ORD0053</t>
  </si>
  <si>
    <t>ORD0054</t>
  </si>
  <si>
    <t>Bluetooth Earbuds</t>
  </si>
  <si>
    <t>ORD0055</t>
  </si>
  <si>
    <t>ORD0056</t>
  </si>
  <si>
    <t>ORD0057</t>
  </si>
  <si>
    <t>ORD0058</t>
  </si>
  <si>
    <t>ORD0059</t>
  </si>
  <si>
    <t>ORD0060</t>
  </si>
  <si>
    <t>ORD0061</t>
  </si>
  <si>
    <t>ORD0062</t>
  </si>
  <si>
    <t>ORD0063</t>
  </si>
  <si>
    <t>ORD0064</t>
  </si>
  <si>
    <t>ORD0065</t>
  </si>
  <si>
    <t>ORD0066</t>
  </si>
  <si>
    <t>USB Cable</t>
  </si>
  <si>
    <t>ORD0067</t>
  </si>
  <si>
    <t>ORD0068</t>
  </si>
  <si>
    <t>ORD0069</t>
  </si>
  <si>
    <t>ORD0070</t>
  </si>
  <si>
    <t>Bluetooth Speaker</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</si>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</sst>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4" fontId="0" fillId="0" borderId="0" xfId="0" applyNumberFormat="1"/>
    <xf numFmtId="0" fontId="0" fillId="0" borderId="0" xfId="0"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[RegionalPivotAnalysis_Aditya_Mishra_S046.xlsx]regionXTotal!PivotTable4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Statistics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regionXTotal!$B$3:$B$4</c:f>
              <c:strCache>
                <c:ptCount val="1"/>
                <c:pt idx="0">
                  <c:v>New</c:v>
                </c:pt>
              </c:strCache>
            </c:strRef>
          </c:tx>
          <c:spPr>
            <a:solidFill>
              <a:schemeClr val="accent1"/>
            </a:solidFill>
            <a:ln>
              <a:noFill/>
            </a:ln>
            <a:effectLst/>
          </c:spPr>
          <c:invertIfNegative val="0"/>
          <c:cat>
            <c:strRef>
              <c:f>regionXTotal!$A$5:$A$9</c:f>
              <c:strCache>
                <c:ptCount val="4"/>
                <c:pt idx="0">
                  <c:v>East</c:v>
                </c:pt>
                <c:pt idx="1">
                  <c:v>North</c:v>
                </c:pt>
                <c:pt idx="2">
                  <c:v>South</c:v>
                </c:pt>
                <c:pt idx="3">
                  <c:v>West</c:v>
                </c:pt>
              </c:strCache>
            </c:strRef>
          </c:cat>
          <c:val>
            <c:numRef>
              <c:f>regionXTotal!$B$5:$B$9</c:f>
              <c:numCache>
                <c:formatCode>0.00%</c:formatCode>
                <c:ptCount val="4"/>
                <c:pt idx="0">
                  <c:v>0.25711151199057719</c:v>
                </c:pt>
                <c:pt idx="1">
                  <c:v>0.31583574270688991</c:v>
                </c:pt>
                <c:pt idx="2">
                  <c:v>0.26790842113966318</c:v>
                </c:pt>
                <c:pt idx="3">
                  <c:v>0.15914432416286975</c:v>
                </c:pt>
              </c:numCache>
            </c:numRef>
          </c:val>
          <c:extLst>
            <c:ext xmlns:c16="http://schemas.microsoft.com/office/drawing/2014/chart" uri="{C3380CC4-5D6E-409C-BE32-E72D297353CC}">
              <c16:uniqueId val="{00000000-A9FA-9D4A-9666-5567E2776A5E}"/>
            </c:ext>
          </c:extLst>
        </c:ser>
        <c:ser>
          <c:idx val="1"/>
          <c:order val="1"/>
          <c:tx>
            <c:strRef>
              <c:f>regionXTotal!$C$3:$C$4</c:f>
              <c:strCache>
                <c:ptCount val="1"/>
                <c:pt idx="0">
                  <c:v>Returning</c:v>
                </c:pt>
              </c:strCache>
            </c:strRef>
          </c:tx>
          <c:spPr>
            <a:solidFill>
              <a:schemeClr val="accent2"/>
            </a:solidFill>
            <a:ln>
              <a:noFill/>
            </a:ln>
            <a:effectLst/>
          </c:spPr>
          <c:invertIfNegative val="0"/>
          <c:cat>
            <c:strRef>
              <c:f>regionXTotal!$A$5:$A$9</c:f>
              <c:strCache>
                <c:ptCount val="4"/>
                <c:pt idx="0">
                  <c:v>East</c:v>
                </c:pt>
                <c:pt idx="1">
                  <c:v>North</c:v>
                </c:pt>
                <c:pt idx="2">
                  <c:v>South</c:v>
                </c:pt>
                <c:pt idx="3">
                  <c:v>West</c:v>
                </c:pt>
              </c:strCache>
            </c:strRef>
          </c:cat>
          <c:val>
            <c:numRef>
              <c:f>regionXTotal!$C$5:$C$9</c:f>
              <c:numCache>
                <c:formatCode>0.00%</c:formatCode>
                <c:ptCount val="4"/>
                <c:pt idx="0">
                  <c:v>0.25048234721360729</c:v>
                </c:pt>
                <c:pt idx="1">
                  <c:v>0.32438497950374851</c:v>
                </c:pt>
                <c:pt idx="2">
                  <c:v>0.20394430163597746</c:v>
                </c:pt>
                <c:pt idx="3">
                  <c:v>0.2211883716466668</c:v>
                </c:pt>
              </c:numCache>
            </c:numRef>
          </c:val>
          <c:extLst>
            <c:ext xmlns:c16="http://schemas.microsoft.com/office/drawing/2014/chart" uri="{C3380CC4-5D6E-409C-BE32-E72D297353CC}">
              <c16:uniqueId val="{00000001-A9FA-9D4A-9666-5567E2776A5E}"/>
            </c:ext>
          </c:extLst>
        </c:ser>
        <c:dLbls>
          <c:showLegendKey val="0"/>
          <c:showVal val="0"/>
          <c:showCatName val="0"/>
          <c:showSerName val="0"/>
          <c:showPercent val="0"/>
          <c:showBubbleSize val="0"/>
        </c:dLbls>
        <c:gapWidth val="219"/>
        <c:overlap val="-27"/>
        <c:axId val="1908636991"/>
        <c:axId val="1908573055"/>
      </c:barChart>
      <c:catAx>
        <c:axId val="1908636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573055"/>
        <c:crosses val="autoZero"/>
        <c:auto val="1"/>
        <c:lblAlgn val="ctr"/>
        <c:lblOffset val="100"/>
        <c:noMultiLvlLbl val="0"/>
      </c:catAx>
      <c:valAx>
        <c:axId val="190857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of grand 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63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1295400</xdr:colOff>
      <xdr:row>37</xdr:row>
      <xdr:rowOff>0</xdr:rowOff>
    </xdr:from>
    <xdr:to>
      <xdr:col>11</xdr:col>
      <xdr:colOff>241300</xdr:colOff>
      <xdr:row>49</xdr:row>
      <xdr:rowOff>142869</xdr:rowOff>
    </xdr:to>
    <mc:AlternateContent xmlns:mc="http://schemas.openxmlformats.org/markup-compatibility/2006" xmlns:a14="http://schemas.microsoft.com/office/drawing/2010/main">
      <mc:Choice Requires="a14">
        <xdr:graphicFrame macro="">
          <xdr:nvGraphicFramePr>
            <xdr:cNvPr id="3" name="Customer Type">
              <a:extLst>
                <a:ext uri="{FF2B5EF4-FFF2-40B4-BE49-F238E27FC236}">
                  <a16:creationId xmlns:a16="http://schemas.microsoft.com/office/drawing/2014/main" id="{6DEA6792-02C8-A9FE-FCCF-4F185DAC856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3182600" y="7048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1168400</xdr:colOff>
      <xdr:row>33</xdr:row>
      <xdr:rowOff>127000</xdr:rowOff>
    </xdr:from>
    <xdr:to>
      <xdr:col>9</xdr:col>
      <xdr:colOff>127000</xdr:colOff>
      <xdr:row>46</xdr:row>
      <xdr:rowOff>79369</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72E61D13-E61F-685D-3599-5C32592C89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85400" y="6413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647700</xdr:colOff>
      <xdr:row>14</xdr:row>
      <xdr:rowOff>76200</xdr:rowOff>
    </xdr:from>
    <xdr:to>
      <xdr:col>14</xdr:col>
      <xdr:colOff>190500</xdr:colOff>
      <xdr:row>30</xdr:row>
      <xdr:rowOff>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0696484C-3BB3-FB90-8D3D-61884535BBE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769100" y="2743200"/>
              <a:ext cx="5321300" cy="2971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4</xdr:col>
      <xdr:colOff>647700</xdr:colOff>
      <xdr:row>1</xdr:row>
      <xdr:rowOff>0</xdr:rowOff>
    </xdr:from>
    <xdr:to>
      <xdr:col>7</xdr:col>
      <xdr:colOff>0</xdr:colOff>
      <xdr:row>13</xdr:row>
      <xdr:rowOff>142869</xdr:rowOff>
    </xdr:to>
    <mc:AlternateContent xmlns:mc="http://schemas.openxmlformats.org/markup-compatibility/2006" xmlns:a14="http://schemas.microsoft.com/office/drawing/2010/main">
      <mc:Choice Requires="a14">
        <xdr:graphicFrame macro="">
          <xdr:nvGraphicFramePr>
            <xdr:cNvPr id="3" name="Months (Date)">
              <a:extLst>
                <a:ext uri="{FF2B5EF4-FFF2-40B4-BE49-F238E27FC236}">
                  <a16:creationId xmlns:a16="http://schemas.microsoft.com/office/drawing/2014/main" id="{F35385A3-4684-AFC0-CE78-37A4F6CD4C53}"/>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4292600" y="190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xdr:colOff>
      <xdr:row>15</xdr:row>
      <xdr:rowOff>12700</xdr:rowOff>
    </xdr:from>
    <xdr:to>
      <xdr:col>6</xdr:col>
      <xdr:colOff>444500</xdr:colOff>
      <xdr:row>27</xdr:row>
      <xdr:rowOff>155569</xdr:rowOff>
    </xdr:to>
    <mc:AlternateContent xmlns:mc="http://schemas.openxmlformats.org/markup-compatibility/2006" xmlns:a14="http://schemas.microsoft.com/office/drawing/2010/main">
      <mc:Choice Requires="a14">
        <xdr:graphicFrame macro="">
          <xdr:nvGraphicFramePr>
            <xdr:cNvPr id="4" name="Quarters (Date)">
              <a:extLst>
                <a:ext uri="{FF2B5EF4-FFF2-40B4-BE49-F238E27FC236}">
                  <a16:creationId xmlns:a16="http://schemas.microsoft.com/office/drawing/2014/main" id="{1CE5C788-CF4E-E2AA-FFD5-3003123FEE63}"/>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3911600" y="28702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717550</xdr:colOff>
      <xdr:row>9</xdr:row>
      <xdr:rowOff>76200</xdr:rowOff>
    </xdr:from>
    <xdr:to>
      <xdr:col>15</xdr:col>
      <xdr:colOff>342900</xdr:colOff>
      <xdr:row>33</xdr:row>
      <xdr:rowOff>0</xdr:rowOff>
    </xdr:to>
    <xdr:graphicFrame macro="">
      <xdr:nvGraphicFramePr>
        <xdr:cNvPr id="2" name="Chart 1">
          <a:extLst>
            <a:ext uri="{FF2B5EF4-FFF2-40B4-BE49-F238E27FC236}">
              <a16:creationId xmlns:a16="http://schemas.microsoft.com/office/drawing/2014/main" id="{918D9F72-28AA-A854-90C6-3DB696047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74.489344444446" createdVersion="8" refreshedVersion="8" minRefreshableVersion="3" recordCount="220" xr:uid="{CC04DA0B-A78C-2744-9330-782139122E48}">
  <cacheSource type="worksheet">
    <worksheetSource ref="A1:K221" sheet="regional_sales"/>
  </cacheSource>
  <cacheFields count="14">
    <cacheField name="Order ID" numFmtId="0">
      <sharedItems/>
    </cacheField>
    <cacheField name="Date" numFmtId="14">
      <sharedItems containsSemiMixedTypes="0" containsNonDate="0" containsDate="1" containsString="0" minDate="2025-01-02T00:00:00" maxDate="2026-01-01T00:00:00" count="164">
        <d v="2025-05-10T00:00:00"/>
        <d v="2025-11-10T00:00:00"/>
        <d v="2025-09-12T00:00:00"/>
        <d v="2025-10-10T00:00:00"/>
        <d v="2025-12-23T00:00:00"/>
        <d v="2025-02-14T00:00:00"/>
        <d v="2025-07-26T00:00:00"/>
        <d v="2025-08-10T00:00:00"/>
        <d v="2025-12-02T00:00:00"/>
        <d v="2025-08-01T00:00:00"/>
        <d v="2025-08-27T00:00:00"/>
        <d v="2025-10-23T00:00:00"/>
        <d v="2025-10-04T00:00:00"/>
        <d v="2025-03-14T00:00:00"/>
        <d v="2025-12-07T00:00:00"/>
        <d v="2025-05-26T00:00:00"/>
        <d v="2025-12-15T00:00:00"/>
        <d v="2025-10-15T00:00:00"/>
        <d v="2025-12-21T00:00:00"/>
        <d v="2025-10-26T00:00:00"/>
        <d v="2025-01-03T00:00:00"/>
        <d v="2025-02-09T00:00:00"/>
        <d v="2025-11-23T00:00:00"/>
        <d v="2025-07-18T00:00:00"/>
        <d v="2025-04-08T00:00:00"/>
        <d v="2025-04-19T00:00:00"/>
        <d v="2025-11-26T00:00:00"/>
        <d v="2025-09-27T00:00:00"/>
        <d v="2025-02-04T00:00:00"/>
        <d v="2025-11-12T00:00:00"/>
        <d v="2025-07-15T00:00:00"/>
        <d v="2025-06-06T00:00:00"/>
        <d v="2025-07-11T00:00:00"/>
        <d v="2025-03-15T00:00:00"/>
        <d v="2025-12-06T00:00:00"/>
        <d v="2025-09-18T00:00:00"/>
        <d v="2025-08-06T00:00:00"/>
        <d v="2025-10-03T00:00:00"/>
        <d v="2025-03-26T00:00:00"/>
        <d v="2025-10-02T00:00:00"/>
        <d v="2025-09-03T00:00:00"/>
        <d v="2025-03-04T00:00:00"/>
        <d v="2025-07-07T00:00:00"/>
        <d v="2025-01-13T00:00:00"/>
        <d v="2025-05-07T00:00:00"/>
        <d v="2025-04-03T00:00:00"/>
        <d v="2025-01-09T00:00:00"/>
        <d v="2025-10-07T00:00:00"/>
        <d v="2025-04-04T00:00:00"/>
        <d v="2025-09-25T00:00:00"/>
        <d v="2025-06-24T00:00:00"/>
        <d v="2025-12-27T00:00:00"/>
        <d v="2025-02-24T00:00:00"/>
        <d v="2025-07-21T00:00:00"/>
        <d v="2025-02-26T00:00:00"/>
        <d v="2025-12-30T00:00:00"/>
        <d v="2025-04-13T00:00:00"/>
        <d v="2025-03-20T00:00:00"/>
        <d v="2025-02-06T00:00:00"/>
        <d v="2025-08-21T00:00:00"/>
        <d v="2025-12-14T00:00:00"/>
        <d v="2025-02-18T00:00:00"/>
        <d v="2025-06-12T00:00:00"/>
        <d v="2025-11-17T00:00:00"/>
        <d v="2025-12-08T00:00:00"/>
        <d v="2025-10-25T00:00:00"/>
        <d v="2025-06-05T00:00:00"/>
        <d v="2025-07-09T00:00:00"/>
        <d v="2025-12-18T00:00:00"/>
        <d v="2025-05-31T00:00:00"/>
        <d v="2025-06-20T00:00:00"/>
        <d v="2025-07-14T00:00:00"/>
        <d v="2025-03-27T00:00:00"/>
        <d v="2025-05-01T00:00:00"/>
        <d v="2025-08-30T00:00:00"/>
        <d v="2025-02-20T00:00:00"/>
        <d v="2025-09-29T00:00:00"/>
        <d v="2025-05-09T00:00:00"/>
        <d v="2025-02-28T00:00:00"/>
        <d v="2025-02-16T00:00:00"/>
        <d v="2025-02-25T00:00:00"/>
        <d v="2025-09-28T00:00:00"/>
        <d v="2025-11-05T00:00:00"/>
        <d v="2025-02-22T00:00:00"/>
        <d v="2025-06-14T00:00:00"/>
        <d v="2025-01-22T00:00:00"/>
        <d v="2025-09-08T00:00:00"/>
        <d v="2025-12-05T00:00:00"/>
        <d v="2025-08-14T00:00:00"/>
        <d v="2025-04-29T00:00:00"/>
        <d v="2025-05-28T00:00:00"/>
        <d v="2025-04-02T00:00:00"/>
        <d v="2025-11-14T00:00:00"/>
        <d v="2025-10-28T00:00:00"/>
        <d v="2025-12-20T00:00:00"/>
        <d v="2025-08-22T00:00:00"/>
        <d v="2025-11-07T00:00:00"/>
        <d v="2025-02-12T00:00:00"/>
        <d v="2025-01-08T00:00:00"/>
        <d v="2025-02-19T00:00:00"/>
        <d v="2025-11-30T00:00:00"/>
        <d v="2025-12-13T00:00:00"/>
        <d v="2025-04-14T00:00:00"/>
        <d v="2025-05-29T00:00:00"/>
        <d v="2025-05-04T00:00:00"/>
        <d v="2025-07-02T00:00:00"/>
        <d v="2025-01-05T00:00:00"/>
        <d v="2025-01-16T00:00:00"/>
        <d v="2025-03-28T00:00:00"/>
        <d v="2025-01-17T00:00:00"/>
        <d v="2025-09-17T00:00:00"/>
        <d v="2025-08-18T00:00:00"/>
        <d v="2025-01-02T00:00:00"/>
        <d v="2025-01-06T00:00:00"/>
        <d v="2025-07-16T00:00:00"/>
        <d v="2025-07-04T00:00:00"/>
        <d v="2025-08-17T00:00:00"/>
        <d v="2025-07-30T00:00:00"/>
        <d v="2025-12-31T00:00:00"/>
        <d v="2025-08-12T00:00:00"/>
        <d v="2025-05-14T00:00:00"/>
        <d v="2025-04-15T00:00:00"/>
        <d v="2025-05-15T00:00:00"/>
        <d v="2025-08-04T00:00:00"/>
        <d v="2025-10-17T00:00:00"/>
        <d v="2025-02-17T00:00:00"/>
        <d v="2025-08-25T00:00:00"/>
        <d v="2025-06-09T00:00:00"/>
        <d v="2025-08-26T00:00:00"/>
        <d v="2025-12-28T00:00:00"/>
        <d v="2025-09-21T00:00:00"/>
        <d v="2025-09-05T00:00:00"/>
        <d v="2025-03-23T00:00:00"/>
        <d v="2025-05-12T00:00:00"/>
        <d v="2025-07-20T00:00:00"/>
        <d v="2025-09-14T00:00:00"/>
        <d v="2025-04-17T00:00:00"/>
        <d v="2025-09-15T00:00:00"/>
        <d v="2025-11-13T00:00:00"/>
        <d v="2025-11-18T00:00:00"/>
        <d v="2025-07-06T00:00:00"/>
        <d v="2025-12-26T00:00:00"/>
        <d v="2025-09-04T00:00:00"/>
        <d v="2025-08-02T00:00:00"/>
        <d v="2025-01-04T00:00:00"/>
        <d v="2025-03-10T00:00:00"/>
        <d v="2025-04-26T00:00:00"/>
        <d v="2025-10-06T00:00:00"/>
        <d v="2025-05-03T00:00:00"/>
        <d v="2025-11-24T00:00:00"/>
        <d v="2025-12-17T00:00:00"/>
        <d v="2025-10-19T00:00:00"/>
        <d v="2025-06-15T00:00:00"/>
        <d v="2025-06-26T00:00:00"/>
        <d v="2025-04-05T00:00:00"/>
        <d v="2025-07-28T00:00:00"/>
        <d v="2025-03-09T00:00:00"/>
        <d v="2025-08-05T00:00:00"/>
        <d v="2025-11-11T00:00:00"/>
        <d v="2025-06-19T00:00:00"/>
        <d v="2025-01-21T00:00:00"/>
        <d v="2025-03-17T00:00:00"/>
        <d v="2025-01-11T00:00:00"/>
        <d v="2025-01-26T00:00:00"/>
      </sharedItems>
      <fieldGroup par="12"/>
    </cacheField>
    <cacheField name="Region" numFmtId="0">
      <sharedItems count="4">
        <s v="East"/>
        <s v="South"/>
        <s v="West"/>
        <s v="North"/>
      </sharedItems>
    </cacheField>
    <cacheField name="State" numFmtId="0">
      <sharedItems/>
    </cacheField>
    <cacheField name="Category" numFmtId="0">
      <sharedItems count="6">
        <s v="Apparel"/>
        <s v="Sports"/>
        <s v="Home &amp; Kitchen"/>
        <s v="Beauty"/>
        <s v="Electronics"/>
        <s v="Stationery"/>
      </sharedItems>
    </cacheField>
    <cacheField name="Product Name" numFmtId="0">
      <sharedItems/>
    </cacheField>
    <cacheField name="Salesperson" numFmtId="0">
      <sharedItems/>
    </cacheField>
    <cacheField name="Customer Type" numFmtId="0">
      <sharedItems count="2">
        <s v="Returning"/>
        <s v="New"/>
      </sharedItems>
    </cacheField>
    <cacheField name="Qty" numFmtId="0">
      <sharedItems containsSemiMixedTypes="0" containsString="0" containsNumber="1" containsInteger="1" minValue="1" maxValue="10"/>
    </cacheField>
    <cacheField name="Unit Price" numFmtId="0">
      <sharedItems containsSemiMixedTypes="0" containsString="0" containsNumber="1" minValue="85.61" maxValue="2085.5500000000002"/>
    </cacheField>
    <cacheField name="Total Sales" numFmtId="0">
      <sharedItems containsSemiMixedTypes="0" containsString="0" containsNumber="1" minValue="92.97" maxValue="20534.2" count="220">
        <n v="5009.12"/>
        <n v="2066.0500000000002"/>
        <n v="4033.5"/>
        <n v="1239.3800000000001"/>
        <n v="3068.84"/>
        <n v="1612.24"/>
        <n v="6039.56"/>
        <n v="511.27"/>
        <n v="16507.919999999998"/>
        <n v="1249.8399999999999"/>
        <n v="763.2"/>
        <n v="966.15"/>
        <n v="5536.35"/>
        <n v="6930.6"/>
        <n v="379.52"/>
        <n v="6082.37"/>
        <n v="2527.42"/>
        <n v="553.74"/>
        <n v="3699.5"/>
        <n v="443.67"/>
        <n v="19230.2"/>
        <n v="8279.01"/>
        <n v="9733.2000000000007"/>
        <n v="8374.59"/>
        <n v="520"/>
        <n v="903.55"/>
        <n v="7171.56"/>
        <n v="2134.09"/>
        <n v="1350.09"/>
        <n v="371.94"/>
        <n v="726.32"/>
        <n v="4201.8900000000003"/>
        <n v="1590.4"/>
        <n v="312.97000000000003"/>
        <n v="4810.12"/>
        <n v="734.32"/>
        <n v="1874.34"/>
        <n v="10483.92"/>
        <n v="1817.96"/>
        <n v="3903.36"/>
        <n v="7306.2"/>
        <n v="1330.43"/>
        <n v="4995.6000000000004"/>
        <n v="590.22"/>
        <n v="939.66"/>
        <n v="5152.6000000000004"/>
        <n v="8978.2000000000007"/>
        <n v="6036.1"/>
        <n v="190.04"/>
        <n v="744.2"/>
        <n v="1665.52"/>
        <n v="4387.92"/>
        <n v="5150.6400000000003"/>
        <n v="1851.39"/>
        <n v="414.72"/>
        <n v="7906.59"/>
        <n v="2645.22"/>
        <n v="12364.8"/>
        <n v="8795.5"/>
        <n v="2876.76"/>
        <n v="2606.5"/>
        <n v="788.31"/>
        <n v="2168.64"/>
        <n v="6703"/>
        <n v="1270.92"/>
        <n v="312.24"/>
        <n v="5105.8"/>
        <n v="6420.6"/>
        <n v="2412.1999999999998"/>
        <n v="1461.44"/>
        <n v="5098.59"/>
        <n v="1231.08"/>
        <n v="833.4"/>
        <n v="606.9"/>
        <n v="2014.16"/>
        <n v="6078.96"/>
        <n v="8425.08"/>
        <n v="3326.05"/>
        <n v="1086.96"/>
        <n v="4797.3"/>
        <n v="753.68"/>
        <n v="717.48"/>
        <n v="13400.64"/>
        <n v="4521.42"/>
        <n v="4419.42"/>
        <n v="1249.92"/>
        <n v="855.84"/>
        <n v="13997.79"/>
        <n v="2536.12"/>
        <n v="2363.44"/>
        <n v="1659.52"/>
        <n v="7544.64"/>
        <n v="2982"/>
        <n v="2670.02"/>
        <n v="11589.12"/>
        <n v="825.79"/>
        <n v="303.45"/>
        <n v="10004.15"/>
        <n v="1435.21"/>
        <n v="208.85"/>
        <n v="289.52"/>
        <n v="1292.94"/>
        <n v="1553.3"/>
        <n v="4171.1000000000004"/>
        <n v="14333.28"/>
        <n v="440.16"/>
        <n v="5337.66"/>
        <n v="6860.2"/>
        <n v="3621.51"/>
        <n v="611.67999999999995"/>
        <n v="263.10000000000002"/>
        <n v="908.46"/>
        <n v="599.08000000000004"/>
        <n v="1734.6"/>
        <n v="601.23"/>
        <n v="746.45"/>
        <n v="5184.8"/>
        <n v="10500.72"/>
        <n v="9125.76"/>
        <n v="3041.32"/>
        <n v="92.97"/>
        <n v="10754.17"/>
        <n v="1023.89"/>
        <n v="1360.31"/>
        <n v="8807.68"/>
        <n v="9272.1"/>
        <n v="865.83"/>
        <n v="444.35"/>
        <n v="4284.33"/>
        <n v="2638.62"/>
        <n v="5082.3999999999996"/>
        <n v="3642.28"/>
        <n v="2705.4"/>
        <n v="6960.33"/>
        <n v="1003.31"/>
        <n v="1160.54"/>
        <n v="3667.2"/>
        <n v="444.75"/>
        <n v="4664.6000000000004"/>
        <n v="2991.78"/>
        <n v="1409.52"/>
        <n v="815.96"/>
        <n v="5020.12"/>
        <n v="8883.5"/>
        <n v="513.66"/>
        <n v="5217.54"/>
        <n v="3419.85"/>
        <n v="6077.26"/>
        <n v="3440.34"/>
        <n v="502.28"/>
        <n v="12075.3"/>
        <n v="2854.85"/>
        <n v="6723.25"/>
        <n v="1478.52"/>
        <n v="296.16000000000003"/>
        <n v="244.06"/>
        <n v="858.48"/>
        <n v="1726.71"/>
        <n v="4584.3"/>
        <n v="5859.6"/>
        <n v="122.15"/>
        <n v="10542.72"/>
        <n v="12416.48"/>
        <n v="916.62"/>
        <n v="2338.14"/>
        <n v="755.17"/>
        <n v="1461.05"/>
        <n v="4574.79"/>
        <n v="1160.4000000000001"/>
        <n v="3387.7"/>
        <n v="6262.35"/>
        <n v="354.89"/>
        <n v="5158.8999999999996"/>
        <n v="1126.71"/>
        <n v="525.66"/>
        <n v="20534.2"/>
        <n v="600.04999999999995"/>
        <n v="2342.56"/>
        <n v="832.14"/>
        <n v="10574.62"/>
        <n v="1705.75"/>
        <n v="5355.44"/>
        <n v="3604.5"/>
        <n v="4599.2"/>
        <n v="2462.46"/>
        <n v="1877.54"/>
        <n v="17560.8"/>
        <n v="660.17"/>
        <n v="526.91999999999996"/>
        <n v="2496.75"/>
        <n v="7860.42"/>
        <n v="8156.79"/>
        <n v="1073.28"/>
        <n v="1235.56"/>
        <n v="8189.16"/>
        <n v="1548.5"/>
        <n v="878.57"/>
        <n v="904.8"/>
        <n v="2783.7"/>
        <n v="1593.76"/>
        <n v="1182.96"/>
        <n v="1477.65"/>
        <n v="3476"/>
        <n v="5546.79"/>
        <n v="1866.99"/>
        <n v="18308.2"/>
        <n v="1378.44"/>
        <n v="1929.72"/>
        <n v="3637.92"/>
        <n v="14236.4"/>
        <n v="1027.8800000000001"/>
        <n v="2266.92"/>
        <n v="10242.26"/>
        <n v="9154.5"/>
        <n v="1513.1"/>
        <n v="10138.450000000001"/>
        <n v="990.95"/>
        <n v="18027.3"/>
        <n v="8436.4"/>
        <n v="3730.77"/>
      </sharedItems>
      <fieldGroup base="10">
        <rangePr autoStart="0" autoEnd="0" startNum="0" endNum="25000" groupInterval="5000"/>
        <groupItems count="7">
          <s v="&lt;0"/>
          <s v="0-5000"/>
          <s v="5000-10000"/>
          <s v="10000-15000"/>
          <s v="15000-20000"/>
          <s v="20000-25000"/>
          <s v="&gt;25000"/>
        </groupItems>
      </fieldGroup>
    </cacheField>
    <cacheField name="Months (Date)" numFmtId="0" databaseField="0">
      <fieldGroup base="1">
        <rangePr groupBy="months" startDate="2025-01-02T00:00:00" endDate="2026-01-01T00:00:00"/>
        <groupItems count="14">
          <s v="&lt;1/2/2025"/>
          <s v="Jan"/>
          <s v="Feb"/>
          <s v="Mar"/>
          <s v="Apr"/>
          <s v="May"/>
          <s v="Jun"/>
          <s v="Jul"/>
          <s v="Aug"/>
          <s v="Sep"/>
          <s v="Oct"/>
          <s v="Nov"/>
          <s v="Dec"/>
          <s v="&gt;1/1/2026"/>
        </groupItems>
      </fieldGroup>
    </cacheField>
    <cacheField name="Quarters (Date)" numFmtId="0" databaseField="0">
      <fieldGroup base="1">
        <rangePr groupBy="quarters" startDate="2025-01-02T00:00:00" endDate="2026-01-01T00:00:00"/>
        <groupItems count="6">
          <s v="&lt;1/2/2025"/>
          <s v="Qtr1"/>
          <s v="Qtr2"/>
          <s v="Qtr3"/>
          <s v="Qtr4"/>
          <s v="&gt;1/1/2026"/>
        </groupItems>
      </fieldGroup>
    </cacheField>
    <cacheField name="avg price per unit" numFmtId="0" formula="'Total Sales'/Qty" databaseField="0"/>
  </cacheFields>
  <extLst>
    <ext xmlns:x14="http://schemas.microsoft.com/office/spreadsheetml/2009/9/main" uri="{725AE2AE-9491-48be-B2B4-4EB974FC3084}">
      <x14:pivotCacheDefinition pivotCacheId="1877612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s v="ORD0001"/>
    <x v="0"/>
    <x v="0"/>
    <s v="West Bengal"/>
    <x v="0"/>
    <s v="Cotton T-Shirt"/>
    <s v="Diya Patel"/>
    <x v="0"/>
    <n v="8"/>
    <n v="626.14"/>
    <x v="0"/>
  </r>
  <r>
    <s v="ORD0002"/>
    <x v="1"/>
    <x v="1"/>
    <s v="Karnataka"/>
    <x v="1"/>
    <s v="Running Shoes"/>
    <s v="Aarav Sharma"/>
    <x v="0"/>
    <n v="1"/>
    <n v="2066.0500000000002"/>
    <x v="1"/>
  </r>
  <r>
    <s v="ORD0003"/>
    <x v="2"/>
    <x v="1"/>
    <s v="Karnataka"/>
    <x v="1"/>
    <s v="Yoga Mat"/>
    <s v="Rohan Verma"/>
    <x v="0"/>
    <n v="6"/>
    <n v="672.25"/>
    <x v="2"/>
  </r>
  <r>
    <s v="ORD0004"/>
    <x v="3"/>
    <x v="0"/>
    <s v="Odisha"/>
    <x v="0"/>
    <s v="Cotton T-Shirt"/>
    <s v="Priya Iyer"/>
    <x v="1"/>
    <n v="2"/>
    <n v="619.69000000000005"/>
    <x v="3"/>
  </r>
  <r>
    <s v="ORD0005"/>
    <x v="4"/>
    <x v="2"/>
    <s v="Rajasthan"/>
    <x v="2"/>
    <s v="Table Lamp"/>
    <s v="Diya Patel"/>
    <x v="1"/>
    <n v="4"/>
    <n v="767.21"/>
    <x v="4"/>
  </r>
  <r>
    <s v="ORD0006"/>
    <x v="5"/>
    <x v="3"/>
    <s v="Uttar Pradesh"/>
    <x v="3"/>
    <s v="Face Wash"/>
    <s v="Diya Patel"/>
    <x v="0"/>
    <n v="8"/>
    <n v="201.53"/>
    <x v="5"/>
  </r>
  <r>
    <s v="ORD0007"/>
    <x v="3"/>
    <x v="3"/>
    <s v="Punjab"/>
    <x v="1"/>
    <s v="Cricket Bat"/>
    <s v="Siddharth Nair"/>
    <x v="1"/>
    <n v="4"/>
    <n v="1509.89"/>
    <x v="6"/>
  </r>
  <r>
    <s v="ORD0008"/>
    <x v="6"/>
    <x v="1"/>
    <s v="Tamil Nadu"/>
    <x v="4"/>
    <s v="Wireless Mouse"/>
    <s v="Aarav Sharma"/>
    <x v="0"/>
    <n v="1"/>
    <n v="511.27"/>
    <x v="7"/>
  </r>
  <r>
    <s v="ORD0009"/>
    <x v="7"/>
    <x v="3"/>
    <s v="Punjab"/>
    <x v="1"/>
    <s v="Running Shoes"/>
    <s v="Ananya Rao"/>
    <x v="1"/>
    <n v="8"/>
    <n v="2063.4899999999998"/>
    <x v="8"/>
  </r>
  <r>
    <s v="ORD0010"/>
    <x v="8"/>
    <x v="3"/>
    <s v="Delhi"/>
    <x v="5"/>
    <s v="Sketch Book"/>
    <s v="Diya Patel"/>
    <x v="1"/>
    <n v="8"/>
    <n v="156.22999999999999"/>
    <x v="9"/>
  </r>
  <r>
    <s v="ORD0011"/>
    <x v="9"/>
    <x v="3"/>
    <s v="Delhi"/>
    <x v="3"/>
    <s v="Face Wash"/>
    <s v="Aarav Sharma"/>
    <x v="1"/>
    <n v="4"/>
    <n v="190.8"/>
    <x v="10"/>
  </r>
  <r>
    <s v="ORD0012"/>
    <x v="10"/>
    <x v="3"/>
    <s v="Punjab"/>
    <x v="3"/>
    <s v="Face Wash"/>
    <s v="Rohan Verma"/>
    <x v="1"/>
    <n v="5"/>
    <n v="193.23"/>
    <x v="11"/>
  </r>
  <r>
    <s v="ORD0013"/>
    <x v="5"/>
    <x v="1"/>
    <s v="Karnataka"/>
    <x v="0"/>
    <s v="Cotton T-Shirt"/>
    <s v="Aarav Sharma"/>
    <x v="1"/>
    <n v="9"/>
    <n v="615.15"/>
    <x v="12"/>
  </r>
  <r>
    <s v="ORD0014"/>
    <x v="11"/>
    <x v="2"/>
    <s v="Gujarat"/>
    <x v="1"/>
    <s v="Yoga Mat"/>
    <s v="Diya Patel"/>
    <x v="0"/>
    <n v="10"/>
    <n v="693.06"/>
    <x v="13"/>
  </r>
  <r>
    <s v="ORD0015"/>
    <x v="12"/>
    <x v="0"/>
    <s v="Odisha"/>
    <x v="3"/>
    <s v="Face Wash"/>
    <s v="Aarav Sharma"/>
    <x v="0"/>
    <n v="2"/>
    <n v="189.76"/>
    <x v="14"/>
  </r>
  <r>
    <s v="ORD0016"/>
    <x v="13"/>
    <x v="3"/>
    <s v="Delhi"/>
    <x v="2"/>
    <s v="Desk Lamp"/>
    <s v="Priya Iyer"/>
    <x v="1"/>
    <n v="7"/>
    <n v="868.91"/>
    <x v="15"/>
  </r>
  <r>
    <s v="ORD0017"/>
    <x v="14"/>
    <x v="2"/>
    <s v="Gujarat"/>
    <x v="3"/>
    <s v="Moisturizer"/>
    <s v="Siddharth Nair"/>
    <x v="1"/>
    <n v="7"/>
    <n v="361.06"/>
    <x v="16"/>
  </r>
  <r>
    <s v="ORD0018"/>
    <x v="15"/>
    <x v="3"/>
    <s v="Uttar Pradesh"/>
    <x v="5"/>
    <s v="Gel Pen Set"/>
    <s v="Priya Iyer"/>
    <x v="0"/>
    <n v="6"/>
    <n v="92.29"/>
    <x v="17"/>
  </r>
  <r>
    <s v="ORD0019"/>
    <x v="16"/>
    <x v="2"/>
    <s v="Rajasthan"/>
    <x v="2"/>
    <s v="Table Lamp"/>
    <s v="Siddharth Nair"/>
    <x v="0"/>
    <n v="5"/>
    <n v="739.9"/>
    <x v="18"/>
  </r>
  <r>
    <s v="ORD0020"/>
    <x v="17"/>
    <x v="0"/>
    <s v="West Bengal"/>
    <x v="5"/>
    <s v="Sketch Book"/>
    <s v="Diya Patel"/>
    <x v="1"/>
    <n v="3"/>
    <n v="147.88999999999999"/>
    <x v="19"/>
  </r>
  <r>
    <s v="ORD0021"/>
    <x v="4"/>
    <x v="3"/>
    <s v="Delhi"/>
    <x v="1"/>
    <s v="Running Shoes"/>
    <s v="Aarav Sharma"/>
    <x v="1"/>
    <n v="10"/>
    <n v="1923.02"/>
    <x v="20"/>
  </r>
  <r>
    <s v="ORD0022"/>
    <x v="18"/>
    <x v="1"/>
    <s v="Tamil Nadu"/>
    <x v="0"/>
    <s v="Formal Shirt"/>
    <s v="Neha Reddy"/>
    <x v="1"/>
    <n v="9"/>
    <n v="919.89"/>
    <x v="21"/>
  </r>
  <r>
    <s v="ORD0023"/>
    <x v="19"/>
    <x v="2"/>
    <s v="Maharashtra"/>
    <x v="2"/>
    <s v="Non-Stick Pan"/>
    <s v="Diya Patel"/>
    <x v="0"/>
    <n v="8"/>
    <n v="1216.6500000000001"/>
    <x v="22"/>
  </r>
  <r>
    <s v="ORD0024"/>
    <x v="20"/>
    <x v="3"/>
    <s v="Punjab"/>
    <x v="2"/>
    <s v="Desk Lamp"/>
    <s v="Ananya Rao"/>
    <x v="0"/>
    <n v="9"/>
    <n v="930.51"/>
    <x v="23"/>
  </r>
  <r>
    <s v="ORD0025"/>
    <x v="21"/>
    <x v="2"/>
    <s v="Maharashtra"/>
    <x v="4"/>
    <s v="Wireless Mouse"/>
    <s v="Siddharth Nair"/>
    <x v="1"/>
    <n v="1"/>
    <n v="520"/>
    <x v="24"/>
  </r>
  <r>
    <s v="ORD0026"/>
    <x v="22"/>
    <x v="0"/>
    <s v="Odisha"/>
    <x v="2"/>
    <s v="Desk Lamp"/>
    <s v="Diya Patel"/>
    <x v="1"/>
    <n v="1"/>
    <n v="903.55"/>
    <x v="25"/>
  </r>
  <r>
    <s v="ORD0027"/>
    <x v="23"/>
    <x v="3"/>
    <s v="Delhi"/>
    <x v="2"/>
    <s v="Non-Stick Pan"/>
    <s v="Priya Iyer"/>
    <x v="0"/>
    <n v="6"/>
    <n v="1195.26"/>
    <x v="26"/>
  </r>
  <r>
    <s v="ORD0028"/>
    <x v="24"/>
    <x v="2"/>
    <s v="Rajasthan"/>
    <x v="3"/>
    <s v="Lipstick"/>
    <s v="Siddharth Nair"/>
    <x v="1"/>
    <n v="7"/>
    <n v="304.87"/>
    <x v="27"/>
  </r>
  <r>
    <s v="ORD0029"/>
    <x v="25"/>
    <x v="0"/>
    <s v="Odisha"/>
    <x v="5"/>
    <s v="Sketch Book"/>
    <s v="Siddharth Nair"/>
    <x v="1"/>
    <n v="9"/>
    <n v="150.01"/>
    <x v="28"/>
  </r>
  <r>
    <s v="ORD0030"/>
    <x v="26"/>
    <x v="1"/>
    <s v="Tamil Nadu"/>
    <x v="5"/>
    <s v="Notebook Pack"/>
    <s v="Rohan Verma"/>
    <x v="0"/>
    <n v="3"/>
    <n v="123.98"/>
    <x v="29"/>
  </r>
  <r>
    <s v="ORD0031"/>
    <x v="27"/>
    <x v="2"/>
    <s v="Gujarat"/>
    <x v="5"/>
    <s v="Gel Pen Set"/>
    <s v="Priya Iyer"/>
    <x v="1"/>
    <n v="8"/>
    <n v="90.79"/>
    <x v="30"/>
  </r>
  <r>
    <s v="ORD0032"/>
    <x v="28"/>
    <x v="0"/>
    <s v="Odisha"/>
    <x v="0"/>
    <s v="Cotton T-Shirt"/>
    <s v="Karan Gupta"/>
    <x v="0"/>
    <n v="7"/>
    <n v="600.27"/>
    <x v="31"/>
  </r>
  <r>
    <s v="ORD0033"/>
    <x v="29"/>
    <x v="2"/>
    <s v="Rajasthan"/>
    <x v="3"/>
    <s v="Face Wash"/>
    <s v="Ananya Rao"/>
    <x v="0"/>
    <n v="8"/>
    <n v="198.8"/>
    <x v="32"/>
  </r>
  <r>
    <s v="ORD0034"/>
    <x v="30"/>
    <x v="1"/>
    <s v="Tamil Nadu"/>
    <x v="3"/>
    <s v="Lipstick"/>
    <s v="Siddharth Nair"/>
    <x v="0"/>
    <n v="1"/>
    <n v="312.97000000000003"/>
    <x v="33"/>
  </r>
  <r>
    <s v="ORD0035"/>
    <x v="31"/>
    <x v="0"/>
    <s v="Odisha"/>
    <x v="1"/>
    <s v="Yoga Mat"/>
    <s v="Aarav Sharma"/>
    <x v="1"/>
    <n v="7"/>
    <n v="687.16"/>
    <x v="34"/>
  </r>
  <r>
    <s v="ORD0036"/>
    <x v="32"/>
    <x v="0"/>
    <s v="West Bengal"/>
    <x v="5"/>
    <s v="Gel Pen Set"/>
    <s v="Rohan Verma"/>
    <x v="1"/>
    <n v="8"/>
    <n v="91.79"/>
    <x v="35"/>
  </r>
  <r>
    <s v="ORD0037"/>
    <x v="33"/>
    <x v="1"/>
    <s v="Karnataka"/>
    <x v="3"/>
    <s v="Lipstick"/>
    <s v="Karan Gupta"/>
    <x v="0"/>
    <n v="6"/>
    <n v="312.39"/>
    <x v="36"/>
  </r>
  <r>
    <s v="ORD0038"/>
    <x v="34"/>
    <x v="0"/>
    <s v="West Bengal"/>
    <x v="0"/>
    <s v="Denim Jeans"/>
    <s v="Siddharth Nair"/>
    <x v="1"/>
    <n v="8"/>
    <n v="1310.49"/>
    <x v="37"/>
  </r>
  <r>
    <s v="ORD0039"/>
    <x v="35"/>
    <x v="2"/>
    <s v="Maharashtra"/>
    <x v="0"/>
    <s v="Formal Shirt"/>
    <s v="Aarav Sharma"/>
    <x v="0"/>
    <n v="2"/>
    <n v="908.98"/>
    <x v="38"/>
  </r>
  <r>
    <s v="ORD0040"/>
    <x v="36"/>
    <x v="3"/>
    <s v="Delhi"/>
    <x v="4"/>
    <s v="Wireless Mouse"/>
    <s v="Neha Reddy"/>
    <x v="0"/>
    <n v="8"/>
    <n v="487.92"/>
    <x v="39"/>
  </r>
  <r>
    <s v="ORD0041"/>
    <x v="37"/>
    <x v="3"/>
    <s v="Delhi"/>
    <x v="1"/>
    <s v="Yoga Mat"/>
    <s v="Priya Iyer"/>
    <x v="1"/>
    <n v="10"/>
    <n v="730.62"/>
    <x v="40"/>
  </r>
  <r>
    <s v="ORD0042"/>
    <x v="38"/>
    <x v="1"/>
    <s v="Telangana"/>
    <x v="0"/>
    <s v="Denim Jeans"/>
    <s v="Neha Reddy"/>
    <x v="0"/>
    <n v="1"/>
    <n v="1330.43"/>
    <x v="41"/>
  </r>
  <r>
    <s v="ORD0043"/>
    <x v="39"/>
    <x v="3"/>
    <s v="Uttar Pradesh"/>
    <x v="0"/>
    <s v="Denim Jeans"/>
    <s v="Ananya Rao"/>
    <x v="0"/>
    <n v="4"/>
    <n v="1248.9000000000001"/>
    <x v="42"/>
  </r>
  <r>
    <s v="ORD0044"/>
    <x v="40"/>
    <x v="2"/>
    <s v="Rajasthan"/>
    <x v="3"/>
    <s v="Lipstick"/>
    <s v="Siddharth Nair"/>
    <x v="0"/>
    <n v="2"/>
    <n v="295.11"/>
    <x v="43"/>
  </r>
  <r>
    <s v="ORD0045"/>
    <x v="41"/>
    <x v="2"/>
    <s v="Maharashtra"/>
    <x v="5"/>
    <s v="Sketch Book"/>
    <s v="Neha Reddy"/>
    <x v="0"/>
    <n v="6"/>
    <n v="156.61000000000001"/>
    <x v="44"/>
  </r>
  <r>
    <s v="ORD0046"/>
    <x v="42"/>
    <x v="0"/>
    <s v="West Bengal"/>
    <x v="4"/>
    <s v="Wireless Mouse"/>
    <s v="Aarav Sharma"/>
    <x v="1"/>
    <n v="10"/>
    <n v="515.26"/>
    <x v="45"/>
  </r>
  <r>
    <s v="ORD0047"/>
    <x v="43"/>
    <x v="2"/>
    <s v="Maharashtra"/>
    <x v="0"/>
    <s v="Formal Shirt"/>
    <s v="Siddharth Nair"/>
    <x v="1"/>
    <n v="10"/>
    <n v="897.82"/>
    <x v="46"/>
  </r>
  <r>
    <s v="ORD0048"/>
    <x v="44"/>
    <x v="0"/>
    <s v="Odisha"/>
    <x v="0"/>
    <s v="Cotton T-Shirt"/>
    <s v="Neha Reddy"/>
    <x v="0"/>
    <n v="10"/>
    <n v="603.61"/>
    <x v="47"/>
  </r>
  <r>
    <s v="ORD0049"/>
    <x v="45"/>
    <x v="2"/>
    <s v="Gujarat"/>
    <x v="3"/>
    <s v="Face Wash"/>
    <s v="Rohan Verma"/>
    <x v="1"/>
    <n v="1"/>
    <n v="190.04"/>
    <x v="48"/>
  </r>
  <r>
    <s v="ORD0050"/>
    <x v="46"/>
    <x v="0"/>
    <s v="Odisha"/>
    <x v="5"/>
    <s v="Sketch Book"/>
    <s v="Ananya Rao"/>
    <x v="1"/>
    <n v="5"/>
    <n v="148.84"/>
    <x v="49"/>
  </r>
  <r>
    <s v="ORD0051"/>
    <x v="47"/>
    <x v="3"/>
    <s v="Uttar Pradesh"/>
    <x v="3"/>
    <s v="Face Wash"/>
    <s v="Rohan Verma"/>
    <x v="0"/>
    <n v="8"/>
    <n v="208.19"/>
    <x v="50"/>
  </r>
  <r>
    <s v="ORD0052"/>
    <x v="48"/>
    <x v="3"/>
    <s v="Delhi"/>
    <x v="1"/>
    <s v="Yoga Mat"/>
    <s v="Karan Gupta"/>
    <x v="1"/>
    <n v="6"/>
    <n v="731.32"/>
    <x v="51"/>
  </r>
  <r>
    <s v="ORD0053"/>
    <x v="49"/>
    <x v="0"/>
    <s v="West Bengal"/>
    <x v="0"/>
    <s v="Denim Jeans"/>
    <s v="Karan Gupta"/>
    <x v="0"/>
    <n v="4"/>
    <n v="1287.6600000000001"/>
    <x v="52"/>
  </r>
  <r>
    <s v="ORD0054"/>
    <x v="50"/>
    <x v="1"/>
    <s v="Telangana"/>
    <x v="4"/>
    <s v="Bluetooth Earbuds"/>
    <s v="Rohan Verma"/>
    <x v="1"/>
    <n v="1"/>
    <n v="1851.39"/>
    <x v="53"/>
  </r>
  <r>
    <s v="ORD0055"/>
    <x v="51"/>
    <x v="2"/>
    <s v="Rajasthan"/>
    <x v="3"/>
    <s v="Face Wash"/>
    <s v="Siddharth Nair"/>
    <x v="1"/>
    <n v="2"/>
    <n v="207.36"/>
    <x v="54"/>
  </r>
  <r>
    <s v="ORD0056"/>
    <x v="52"/>
    <x v="0"/>
    <s v="Odisha"/>
    <x v="0"/>
    <s v="Formal Shirt"/>
    <s v="Ananya Rao"/>
    <x v="1"/>
    <n v="9"/>
    <n v="878.51"/>
    <x v="55"/>
  </r>
  <r>
    <s v="ORD0057"/>
    <x v="53"/>
    <x v="3"/>
    <s v="Delhi"/>
    <x v="2"/>
    <s v="Desk Lamp"/>
    <s v="Diya Patel"/>
    <x v="1"/>
    <n v="3"/>
    <n v="881.74"/>
    <x v="56"/>
  </r>
  <r>
    <s v="ORD0058"/>
    <x v="54"/>
    <x v="2"/>
    <s v="Gujarat"/>
    <x v="1"/>
    <s v="Cricket Bat"/>
    <s v="Priya Iyer"/>
    <x v="1"/>
    <n v="8"/>
    <n v="1545.6"/>
    <x v="57"/>
  </r>
  <r>
    <s v="ORD0059"/>
    <x v="55"/>
    <x v="0"/>
    <s v="West Bengal"/>
    <x v="2"/>
    <s v="Non-Stick Pan"/>
    <s v="Siddharth Nair"/>
    <x v="0"/>
    <n v="7"/>
    <n v="1256.5"/>
    <x v="58"/>
  </r>
  <r>
    <s v="ORD0060"/>
    <x v="56"/>
    <x v="1"/>
    <s v="Karnataka"/>
    <x v="1"/>
    <s v="Cricket Bat"/>
    <s v="Siddharth Nair"/>
    <x v="0"/>
    <n v="2"/>
    <n v="1438.38"/>
    <x v="59"/>
  </r>
  <r>
    <s v="ORD0061"/>
    <x v="57"/>
    <x v="0"/>
    <s v="West Bengal"/>
    <x v="0"/>
    <s v="Denim Jeans"/>
    <s v="Ananya Rao"/>
    <x v="1"/>
    <n v="2"/>
    <n v="1303.25"/>
    <x v="60"/>
  </r>
  <r>
    <s v="ORD0062"/>
    <x v="58"/>
    <x v="3"/>
    <s v="Punjab"/>
    <x v="5"/>
    <s v="Gel Pen Set"/>
    <s v="Karan Gupta"/>
    <x v="1"/>
    <n v="9"/>
    <n v="87.59"/>
    <x v="61"/>
  </r>
  <r>
    <s v="ORD0063"/>
    <x v="59"/>
    <x v="3"/>
    <s v="Punjab"/>
    <x v="3"/>
    <s v="Moisturizer"/>
    <s v="Siddharth Nair"/>
    <x v="0"/>
    <n v="6"/>
    <n v="361.44"/>
    <x v="62"/>
  </r>
  <r>
    <s v="ORD0064"/>
    <x v="60"/>
    <x v="3"/>
    <s v="Delhi"/>
    <x v="0"/>
    <s v="Denim Jeans"/>
    <s v="Aarav Sharma"/>
    <x v="1"/>
    <n v="5"/>
    <n v="1340.6"/>
    <x v="63"/>
  </r>
  <r>
    <s v="ORD0065"/>
    <x v="61"/>
    <x v="2"/>
    <s v="Gujarat"/>
    <x v="0"/>
    <s v="Denim Jeans"/>
    <s v="Neha Reddy"/>
    <x v="1"/>
    <n v="1"/>
    <n v="1270.92"/>
    <x v="64"/>
  </r>
  <r>
    <s v="ORD0066"/>
    <x v="62"/>
    <x v="0"/>
    <s v="Odisha"/>
    <x v="4"/>
    <s v="USB Cable"/>
    <s v="Karan Gupta"/>
    <x v="0"/>
    <n v="2"/>
    <n v="156.12"/>
    <x v="65"/>
  </r>
  <r>
    <s v="ORD0067"/>
    <x v="63"/>
    <x v="3"/>
    <s v="Punjab"/>
    <x v="1"/>
    <s v="Yoga Mat"/>
    <s v="Diya Patel"/>
    <x v="0"/>
    <n v="7"/>
    <n v="729.4"/>
    <x v="66"/>
  </r>
  <r>
    <s v="ORD0068"/>
    <x v="64"/>
    <x v="3"/>
    <s v="Uttar Pradesh"/>
    <x v="1"/>
    <s v="Yoga Mat"/>
    <s v="Karan Gupta"/>
    <x v="1"/>
    <n v="9"/>
    <n v="713.4"/>
    <x v="67"/>
  </r>
  <r>
    <s v="ORD0069"/>
    <x v="65"/>
    <x v="1"/>
    <s v="Karnataka"/>
    <x v="3"/>
    <s v="Moisturizer"/>
    <s v="Aarav Sharma"/>
    <x v="0"/>
    <n v="7"/>
    <n v="344.6"/>
    <x v="68"/>
  </r>
  <r>
    <s v="ORD0070"/>
    <x v="66"/>
    <x v="3"/>
    <s v="Delhi"/>
    <x v="4"/>
    <s v="Bluetooth Speaker"/>
    <s v="Siddharth Nair"/>
    <x v="0"/>
    <n v="1"/>
    <n v="1461.44"/>
    <x v="69"/>
  </r>
  <r>
    <s v="ORD0071"/>
    <x v="67"/>
    <x v="2"/>
    <s v="Rajasthan"/>
    <x v="1"/>
    <s v="Yoga Mat"/>
    <s v="Siddharth Nair"/>
    <x v="1"/>
    <n v="7"/>
    <n v="728.37"/>
    <x v="70"/>
  </r>
  <r>
    <s v="ORD0072"/>
    <x v="68"/>
    <x v="2"/>
    <s v="Gujarat"/>
    <x v="0"/>
    <s v="Cotton T-Shirt"/>
    <s v="Aarav Sharma"/>
    <x v="1"/>
    <n v="2"/>
    <n v="615.54"/>
    <x v="71"/>
  </r>
  <r>
    <s v="ORD0073"/>
    <x v="69"/>
    <x v="1"/>
    <s v="Tamil Nadu"/>
    <x v="5"/>
    <s v="Gel Pen Set"/>
    <s v="Priya Iyer"/>
    <x v="0"/>
    <n v="9"/>
    <n v="92.6"/>
    <x v="72"/>
  </r>
  <r>
    <s v="ORD0074"/>
    <x v="70"/>
    <x v="1"/>
    <s v="Telangana"/>
    <x v="5"/>
    <s v="Gel Pen Set"/>
    <s v="Aarav Sharma"/>
    <x v="1"/>
    <n v="7"/>
    <n v="86.7"/>
    <x v="73"/>
  </r>
  <r>
    <s v="ORD0075"/>
    <x v="71"/>
    <x v="2"/>
    <s v="Maharashtra"/>
    <x v="4"/>
    <s v="Wireless Mouse"/>
    <s v="Siddharth Nair"/>
    <x v="1"/>
    <n v="4"/>
    <n v="503.54"/>
    <x v="74"/>
  </r>
  <r>
    <s v="ORD0076"/>
    <x v="72"/>
    <x v="1"/>
    <s v="Tamil Nadu"/>
    <x v="4"/>
    <s v="Bluetooth Speaker"/>
    <s v="Aarav Sharma"/>
    <x v="0"/>
    <n v="4"/>
    <n v="1519.74"/>
    <x v="75"/>
  </r>
  <r>
    <s v="ORD0077"/>
    <x v="73"/>
    <x v="2"/>
    <s v="Maharashtra"/>
    <x v="2"/>
    <s v="Desk Lamp"/>
    <s v="Ananya Rao"/>
    <x v="0"/>
    <n v="9"/>
    <n v="936.12"/>
    <x v="76"/>
  </r>
  <r>
    <s v="ORD0078"/>
    <x v="74"/>
    <x v="3"/>
    <s v="Delhi"/>
    <x v="1"/>
    <s v="Yoga Mat"/>
    <s v="Rohan Verma"/>
    <x v="0"/>
    <n v="5"/>
    <n v="665.21"/>
    <x v="77"/>
  </r>
  <r>
    <s v="ORD0079"/>
    <x v="75"/>
    <x v="1"/>
    <s v="Tamil Nadu"/>
    <x v="4"/>
    <s v="USB Cable"/>
    <s v="Karan Gupta"/>
    <x v="1"/>
    <n v="7"/>
    <n v="155.28"/>
    <x v="78"/>
  </r>
  <r>
    <s v="ORD0080"/>
    <x v="76"/>
    <x v="1"/>
    <s v="Karnataka"/>
    <x v="4"/>
    <s v="Wireless Mouse"/>
    <s v="Ananya Rao"/>
    <x v="0"/>
    <n v="10"/>
    <n v="479.73"/>
    <x v="79"/>
  </r>
  <r>
    <s v="ORD0081"/>
    <x v="77"/>
    <x v="2"/>
    <s v="Gujarat"/>
    <x v="5"/>
    <s v="Gel Pen Set"/>
    <s v="Diya Patel"/>
    <x v="0"/>
    <n v="8"/>
    <n v="94.21"/>
    <x v="80"/>
  </r>
  <r>
    <s v="ORD0082"/>
    <x v="78"/>
    <x v="1"/>
    <s v="Karnataka"/>
    <x v="5"/>
    <s v="Notebook Pack"/>
    <s v="Aarav Sharma"/>
    <x v="1"/>
    <n v="6"/>
    <n v="119.58"/>
    <x v="81"/>
  </r>
  <r>
    <s v="ORD0083"/>
    <x v="79"/>
    <x v="2"/>
    <s v="Maharashtra"/>
    <x v="1"/>
    <s v="Cricket Bat"/>
    <s v="Karan Gupta"/>
    <x v="0"/>
    <n v="9"/>
    <n v="1488.96"/>
    <x v="82"/>
  </r>
  <r>
    <s v="ORD0084"/>
    <x v="80"/>
    <x v="3"/>
    <s v="Uttar Pradesh"/>
    <x v="1"/>
    <s v="Cricket Bat"/>
    <s v="Rohan Verma"/>
    <x v="1"/>
    <n v="3"/>
    <n v="1507.14"/>
    <x v="83"/>
  </r>
  <r>
    <s v="ORD0085"/>
    <x v="81"/>
    <x v="1"/>
    <s v="Telangana"/>
    <x v="4"/>
    <s v="Bluetooth Speaker"/>
    <s v="Neha Reddy"/>
    <x v="1"/>
    <n v="3"/>
    <n v="1473.14"/>
    <x v="84"/>
  </r>
  <r>
    <s v="ORD0086"/>
    <x v="82"/>
    <x v="0"/>
    <s v="West Bengal"/>
    <x v="3"/>
    <s v="Face Wash"/>
    <s v="Siddharth Nair"/>
    <x v="0"/>
    <n v="6"/>
    <n v="208.32"/>
    <x v="85"/>
  </r>
  <r>
    <s v="ORD0087"/>
    <x v="83"/>
    <x v="1"/>
    <s v="Telangana"/>
    <x v="4"/>
    <s v="USB Cable"/>
    <s v="Siddharth Nair"/>
    <x v="1"/>
    <n v="6"/>
    <n v="142.63999999999999"/>
    <x v="86"/>
  </r>
  <r>
    <s v="ORD0088"/>
    <x v="84"/>
    <x v="3"/>
    <s v="Delhi"/>
    <x v="1"/>
    <s v="Cricket Bat"/>
    <s v="Aarav Sharma"/>
    <x v="1"/>
    <n v="9"/>
    <n v="1555.31"/>
    <x v="87"/>
  </r>
  <r>
    <s v="ORD0089"/>
    <x v="85"/>
    <x v="3"/>
    <s v="Punjab"/>
    <x v="0"/>
    <s v="Denim Jeans"/>
    <s v="Karan Gupta"/>
    <x v="1"/>
    <n v="2"/>
    <n v="1268.06"/>
    <x v="88"/>
  </r>
  <r>
    <s v="ORD0090"/>
    <x v="86"/>
    <x v="3"/>
    <s v="Punjab"/>
    <x v="3"/>
    <s v="Lipstick"/>
    <s v="Rohan Verma"/>
    <x v="1"/>
    <n v="8"/>
    <n v="295.43"/>
    <x v="89"/>
  </r>
  <r>
    <s v="ORD0091"/>
    <x v="87"/>
    <x v="3"/>
    <s v="Delhi"/>
    <x v="3"/>
    <s v="Face Wash"/>
    <s v="Ananya Rao"/>
    <x v="1"/>
    <n v="8"/>
    <n v="207.44"/>
    <x v="90"/>
  </r>
  <r>
    <s v="ORD0092"/>
    <x v="12"/>
    <x v="0"/>
    <s v="Odisha"/>
    <x v="0"/>
    <s v="Formal Shirt"/>
    <s v="Ananya Rao"/>
    <x v="0"/>
    <n v="8"/>
    <n v="943.08"/>
    <x v="91"/>
  </r>
  <r>
    <s v="ORD0093"/>
    <x v="88"/>
    <x v="1"/>
    <s v="Tamil Nadu"/>
    <x v="3"/>
    <s v="Lipstick"/>
    <s v="Karan Gupta"/>
    <x v="1"/>
    <n v="10"/>
    <n v="298.2"/>
    <x v="92"/>
  </r>
  <r>
    <s v="ORD0094"/>
    <x v="89"/>
    <x v="0"/>
    <s v="Odisha"/>
    <x v="0"/>
    <s v="Denim Jeans"/>
    <s v="Neha Reddy"/>
    <x v="1"/>
    <n v="2"/>
    <n v="1335.01"/>
    <x v="93"/>
  </r>
  <r>
    <s v="ORD0095"/>
    <x v="90"/>
    <x v="2"/>
    <s v="Maharashtra"/>
    <x v="1"/>
    <s v="Cricket Bat"/>
    <s v="Siddharth Nair"/>
    <x v="1"/>
    <n v="8"/>
    <n v="1448.64"/>
    <x v="94"/>
  </r>
  <r>
    <s v="ORD0096"/>
    <x v="91"/>
    <x v="1"/>
    <s v="Karnataka"/>
    <x v="5"/>
    <s v="Notebook Pack"/>
    <s v="Ananya Rao"/>
    <x v="0"/>
    <n v="7"/>
    <n v="117.97"/>
    <x v="95"/>
  </r>
  <r>
    <s v="ORD0097"/>
    <x v="92"/>
    <x v="0"/>
    <s v="West Bengal"/>
    <x v="3"/>
    <s v="Lipstick"/>
    <s v="Ananya Rao"/>
    <x v="0"/>
    <n v="1"/>
    <n v="303.45"/>
    <x v="96"/>
  </r>
  <r>
    <s v="ORD0098"/>
    <x v="93"/>
    <x v="0"/>
    <s v="West Bengal"/>
    <x v="1"/>
    <s v="Running Shoes"/>
    <s v="Ananya Rao"/>
    <x v="0"/>
    <n v="5"/>
    <n v="2000.83"/>
    <x v="97"/>
  </r>
  <r>
    <s v="ORD0099"/>
    <x v="73"/>
    <x v="2"/>
    <s v="Rajasthan"/>
    <x v="3"/>
    <s v="Face Wash"/>
    <s v="Aarav Sharma"/>
    <x v="1"/>
    <n v="7"/>
    <n v="205.03"/>
    <x v="98"/>
  </r>
  <r>
    <s v="ORD0100"/>
    <x v="94"/>
    <x v="3"/>
    <s v="Uttar Pradesh"/>
    <x v="3"/>
    <s v="Face Wash"/>
    <s v="Priya Iyer"/>
    <x v="1"/>
    <n v="1"/>
    <n v="208.85"/>
    <x v="99"/>
  </r>
  <r>
    <s v="ORD0101"/>
    <x v="95"/>
    <x v="1"/>
    <s v="Karnataka"/>
    <x v="3"/>
    <s v="Lipstick"/>
    <s v="Diya Patel"/>
    <x v="0"/>
    <n v="1"/>
    <n v="289.52"/>
    <x v="100"/>
  </r>
  <r>
    <s v="ORD0102"/>
    <x v="96"/>
    <x v="0"/>
    <s v="Odisha"/>
    <x v="4"/>
    <s v="USB Cable"/>
    <s v="Neha Reddy"/>
    <x v="0"/>
    <n v="9"/>
    <n v="143.66"/>
    <x v="101"/>
  </r>
  <r>
    <s v="ORD0103"/>
    <x v="84"/>
    <x v="0"/>
    <s v="West Bengal"/>
    <x v="3"/>
    <s v="Lipstick"/>
    <s v="Ananya Rao"/>
    <x v="1"/>
    <n v="5"/>
    <n v="310.66000000000003"/>
    <x v="102"/>
  </r>
  <r>
    <s v="ORD0104"/>
    <x v="97"/>
    <x v="0"/>
    <s v="Odisha"/>
    <x v="1"/>
    <s v="Running Shoes"/>
    <s v="Diya Patel"/>
    <x v="0"/>
    <n v="2"/>
    <n v="2085.5500000000002"/>
    <x v="103"/>
  </r>
  <r>
    <s v="ORD0105"/>
    <x v="98"/>
    <x v="3"/>
    <s v="Delhi"/>
    <x v="4"/>
    <s v="Bluetooth Earbuds"/>
    <s v="Siddharth Nair"/>
    <x v="0"/>
    <n v="8"/>
    <n v="1791.66"/>
    <x v="104"/>
  </r>
  <r>
    <s v="ORD0106"/>
    <x v="99"/>
    <x v="0"/>
    <s v="Odisha"/>
    <x v="5"/>
    <s v="Sketch Book"/>
    <s v="Priya Iyer"/>
    <x v="0"/>
    <n v="3"/>
    <n v="146.72"/>
    <x v="105"/>
  </r>
  <r>
    <s v="ORD0107"/>
    <x v="100"/>
    <x v="3"/>
    <s v="Delhi"/>
    <x v="0"/>
    <s v="Formal Shirt"/>
    <s v="Siddharth Nair"/>
    <x v="1"/>
    <n v="6"/>
    <n v="889.61"/>
    <x v="106"/>
  </r>
  <r>
    <s v="ORD0108"/>
    <x v="101"/>
    <x v="2"/>
    <s v="Maharashtra"/>
    <x v="1"/>
    <s v="Yoga Mat"/>
    <s v="Rohan Verma"/>
    <x v="0"/>
    <n v="10"/>
    <n v="686.02"/>
    <x v="107"/>
  </r>
  <r>
    <s v="ORD0109"/>
    <x v="92"/>
    <x v="0"/>
    <s v="West Bengal"/>
    <x v="2"/>
    <s v="Non-Stick Pan"/>
    <s v="Aarav Sharma"/>
    <x v="1"/>
    <n v="3"/>
    <n v="1207.17"/>
    <x v="108"/>
  </r>
  <r>
    <s v="ORD0110"/>
    <x v="102"/>
    <x v="1"/>
    <s v="Telangana"/>
    <x v="0"/>
    <s v="Cotton T-Shirt"/>
    <s v="Rohan Verma"/>
    <x v="1"/>
    <n v="1"/>
    <n v="611.67999999999995"/>
    <x v="109"/>
  </r>
  <r>
    <s v="ORD0111"/>
    <x v="103"/>
    <x v="0"/>
    <s v="Odisha"/>
    <x v="5"/>
    <s v="Gel Pen Set"/>
    <s v="Priya Iyer"/>
    <x v="1"/>
    <n v="3"/>
    <n v="87.7"/>
    <x v="110"/>
  </r>
  <r>
    <s v="ORD0112"/>
    <x v="75"/>
    <x v="2"/>
    <s v="Gujarat"/>
    <x v="0"/>
    <s v="Formal Shirt"/>
    <s v="Rohan Verma"/>
    <x v="1"/>
    <n v="1"/>
    <n v="908.46"/>
    <x v="111"/>
  </r>
  <r>
    <s v="ORD0113"/>
    <x v="104"/>
    <x v="1"/>
    <s v="Telangana"/>
    <x v="4"/>
    <s v="USB Cable"/>
    <s v="Rohan Verma"/>
    <x v="0"/>
    <n v="4"/>
    <n v="149.77000000000001"/>
    <x v="112"/>
  </r>
  <r>
    <s v="ORD0114"/>
    <x v="105"/>
    <x v="3"/>
    <s v="Uttar Pradesh"/>
    <x v="3"/>
    <s v="Moisturizer"/>
    <s v="Diya Patel"/>
    <x v="1"/>
    <n v="5"/>
    <n v="346.92"/>
    <x v="113"/>
  </r>
  <r>
    <s v="ORD0115"/>
    <x v="106"/>
    <x v="0"/>
    <s v="West Bengal"/>
    <x v="5"/>
    <s v="Gel Pen Set"/>
    <s v="Karan Gupta"/>
    <x v="0"/>
    <n v="7"/>
    <n v="85.89"/>
    <x v="114"/>
  </r>
  <r>
    <s v="ORD0116"/>
    <x v="35"/>
    <x v="3"/>
    <s v="Uttar Pradesh"/>
    <x v="2"/>
    <s v="Table Lamp"/>
    <s v="Aarav Sharma"/>
    <x v="0"/>
    <n v="1"/>
    <n v="746.45"/>
    <x v="115"/>
  </r>
  <r>
    <s v="ORD0117"/>
    <x v="107"/>
    <x v="3"/>
    <s v="Delhi"/>
    <x v="0"/>
    <s v="Denim Jeans"/>
    <s v="Aarav Sharma"/>
    <x v="1"/>
    <n v="4"/>
    <n v="1296.2"/>
    <x v="116"/>
  </r>
  <r>
    <s v="ORD0118"/>
    <x v="108"/>
    <x v="3"/>
    <s v="Punjab"/>
    <x v="0"/>
    <s v="Denim Jeans"/>
    <s v="Siddharth Nair"/>
    <x v="0"/>
    <n v="8"/>
    <n v="1312.59"/>
    <x v="117"/>
  </r>
  <r>
    <s v="ORD0119"/>
    <x v="109"/>
    <x v="3"/>
    <s v="Delhi"/>
    <x v="1"/>
    <s v="Cricket Bat"/>
    <s v="Diya Patel"/>
    <x v="0"/>
    <n v="6"/>
    <n v="1520.96"/>
    <x v="118"/>
  </r>
  <r>
    <s v="ORD0120"/>
    <x v="110"/>
    <x v="1"/>
    <s v="Telangana"/>
    <x v="2"/>
    <s v="Table Lamp"/>
    <s v="Aarav Sharma"/>
    <x v="1"/>
    <n v="4"/>
    <n v="760.33"/>
    <x v="119"/>
  </r>
  <r>
    <s v="ORD0121"/>
    <x v="45"/>
    <x v="2"/>
    <s v="Rajasthan"/>
    <x v="5"/>
    <s v="Gel Pen Set"/>
    <s v="Ananya Rao"/>
    <x v="0"/>
    <n v="1"/>
    <n v="92.97"/>
    <x v="120"/>
  </r>
  <r>
    <s v="ORD0122"/>
    <x v="82"/>
    <x v="3"/>
    <s v="Delhi"/>
    <x v="4"/>
    <s v="Bluetooth Speaker"/>
    <s v="Diya Patel"/>
    <x v="1"/>
    <n v="7"/>
    <n v="1536.31"/>
    <x v="121"/>
  </r>
  <r>
    <s v="ORD0123"/>
    <x v="51"/>
    <x v="0"/>
    <s v="Odisha"/>
    <x v="5"/>
    <s v="Sketch Book"/>
    <s v="Ananya Rao"/>
    <x v="0"/>
    <n v="7"/>
    <n v="146.27000000000001"/>
    <x v="122"/>
  </r>
  <r>
    <s v="ORD0124"/>
    <x v="6"/>
    <x v="3"/>
    <s v="Punjab"/>
    <x v="3"/>
    <s v="Face Wash"/>
    <s v="Diya Patel"/>
    <x v="1"/>
    <n v="7"/>
    <n v="194.33"/>
    <x v="123"/>
  </r>
  <r>
    <s v="ORD0125"/>
    <x v="29"/>
    <x v="3"/>
    <s v="Punjab"/>
    <x v="2"/>
    <s v="Non-Stick Pan"/>
    <s v="Karan Gupta"/>
    <x v="0"/>
    <n v="7"/>
    <n v="1258.24"/>
    <x v="124"/>
  </r>
  <r>
    <s v="ORD0126"/>
    <x v="111"/>
    <x v="3"/>
    <s v="Punjab"/>
    <x v="1"/>
    <s v="Cricket Bat"/>
    <s v="Ananya Rao"/>
    <x v="0"/>
    <n v="6"/>
    <n v="1545.35"/>
    <x v="125"/>
  </r>
  <r>
    <s v="ORD0127"/>
    <x v="112"/>
    <x v="2"/>
    <s v="Rajasthan"/>
    <x v="5"/>
    <s v="Notebook Pack"/>
    <s v="Aarav Sharma"/>
    <x v="0"/>
    <n v="7"/>
    <n v="123.69"/>
    <x v="126"/>
  </r>
  <r>
    <s v="ORD0128"/>
    <x v="113"/>
    <x v="0"/>
    <s v="West Bengal"/>
    <x v="5"/>
    <s v="Gel Pen Set"/>
    <s v="Neha Reddy"/>
    <x v="0"/>
    <n v="5"/>
    <n v="88.87"/>
    <x v="127"/>
  </r>
  <r>
    <s v="ORD0129"/>
    <x v="112"/>
    <x v="3"/>
    <s v="Uttar Pradesh"/>
    <x v="1"/>
    <s v="Cricket Bat"/>
    <s v="Diya Patel"/>
    <x v="0"/>
    <n v="3"/>
    <n v="1428.11"/>
    <x v="128"/>
  </r>
  <r>
    <s v="ORD0130"/>
    <x v="67"/>
    <x v="0"/>
    <s v="West Bengal"/>
    <x v="3"/>
    <s v="Lipstick"/>
    <s v="Diya Patel"/>
    <x v="1"/>
    <n v="9"/>
    <n v="293.18"/>
    <x v="129"/>
  </r>
  <r>
    <s v="ORD0131"/>
    <x v="114"/>
    <x v="0"/>
    <s v="Odisha"/>
    <x v="4"/>
    <s v="Wireless Mouse"/>
    <s v="Rohan Verma"/>
    <x v="1"/>
    <n v="10"/>
    <n v="508.24"/>
    <x v="130"/>
  </r>
  <r>
    <s v="ORD0132"/>
    <x v="115"/>
    <x v="0"/>
    <s v="Odisha"/>
    <x v="4"/>
    <s v="Bluetooth Earbuds"/>
    <s v="Priya Iyer"/>
    <x v="1"/>
    <n v="2"/>
    <n v="1821.14"/>
    <x v="131"/>
  </r>
  <r>
    <s v="ORD0133"/>
    <x v="116"/>
    <x v="1"/>
    <s v="Telangana"/>
    <x v="3"/>
    <s v="Lipstick"/>
    <s v="Ananya Rao"/>
    <x v="1"/>
    <n v="9"/>
    <n v="300.60000000000002"/>
    <x v="132"/>
  </r>
  <r>
    <s v="ORD0134"/>
    <x v="52"/>
    <x v="0"/>
    <s v="West Bengal"/>
    <x v="2"/>
    <s v="Table Lamp"/>
    <s v="Ananya Rao"/>
    <x v="1"/>
    <n v="9"/>
    <n v="773.37"/>
    <x v="133"/>
  </r>
  <r>
    <s v="ORD0135"/>
    <x v="55"/>
    <x v="3"/>
    <s v="Uttar Pradesh"/>
    <x v="5"/>
    <s v="Sketch Book"/>
    <s v="Karan Gupta"/>
    <x v="0"/>
    <n v="7"/>
    <n v="143.33000000000001"/>
    <x v="134"/>
  </r>
  <r>
    <s v="ORD0136"/>
    <x v="94"/>
    <x v="0"/>
    <s v="Odisha"/>
    <x v="0"/>
    <s v="Cotton T-Shirt"/>
    <s v="Siddharth Nair"/>
    <x v="1"/>
    <n v="2"/>
    <n v="580.27"/>
    <x v="135"/>
  </r>
  <r>
    <s v="ORD0137"/>
    <x v="117"/>
    <x v="1"/>
    <s v="Karnataka"/>
    <x v="0"/>
    <s v="Cotton T-Shirt"/>
    <s v="Neha Reddy"/>
    <x v="0"/>
    <n v="6"/>
    <n v="611.20000000000005"/>
    <x v="136"/>
  </r>
  <r>
    <s v="ORD0138"/>
    <x v="118"/>
    <x v="0"/>
    <s v="Odisha"/>
    <x v="5"/>
    <s v="Gel Pen Set"/>
    <s v="Siddharth Nair"/>
    <x v="0"/>
    <n v="5"/>
    <n v="88.95"/>
    <x v="137"/>
  </r>
  <r>
    <s v="ORD0139"/>
    <x v="119"/>
    <x v="1"/>
    <s v="Telangana"/>
    <x v="2"/>
    <s v="Desk Lamp"/>
    <s v="Aarav Sharma"/>
    <x v="0"/>
    <n v="5"/>
    <n v="932.92"/>
    <x v="138"/>
  </r>
  <r>
    <s v="ORD0140"/>
    <x v="120"/>
    <x v="2"/>
    <s v="Maharashtra"/>
    <x v="4"/>
    <s v="Wireless Mouse"/>
    <s v="Rohan Verma"/>
    <x v="1"/>
    <n v="6"/>
    <n v="498.63"/>
    <x v="139"/>
  </r>
  <r>
    <s v="ORD0141"/>
    <x v="121"/>
    <x v="3"/>
    <s v="Delhi"/>
    <x v="3"/>
    <s v="Face Wash"/>
    <s v="Siddharth Nair"/>
    <x v="1"/>
    <n v="7"/>
    <n v="201.36"/>
    <x v="140"/>
  </r>
  <r>
    <s v="ORD0142"/>
    <x v="122"/>
    <x v="1"/>
    <s v="Karnataka"/>
    <x v="3"/>
    <s v="Face Wash"/>
    <s v="Rohan Verma"/>
    <x v="1"/>
    <n v="4"/>
    <n v="203.99"/>
    <x v="141"/>
  </r>
  <r>
    <s v="ORD0143"/>
    <x v="123"/>
    <x v="0"/>
    <s v="West Bengal"/>
    <x v="1"/>
    <s v="Yoga Mat"/>
    <s v="Rohan Verma"/>
    <x v="0"/>
    <n v="7"/>
    <n v="717.16"/>
    <x v="142"/>
  </r>
  <r>
    <s v="ORD0144"/>
    <x v="124"/>
    <x v="1"/>
    <s v="Telangana"/>
    <x v="0"/>
    <s v="Formal Shirt"/>
    <s v="Diya Patel"/>
    <x v="0"/>
    <n v="10"/>
    <n v="888.35"/>
    <x v="143"/>
  </r>
  <r>
    <s v="ORD0145"/>
    <x v="118"/>
    <x v="0"/>
    <s v="West Bengal"/>
    <x v="5"/>
    <s v="Gel Pen Set"/>
    <s v="Diya Patel"/>
    <x v="1"/>
    <n v="6"/>
    <n v="85.61"/>
    <x v="144"/>
  </r>
  <r>
    <s v="ORD0146"/>
    <x v="125"/>
    <x v="3"/>
    <s v="Delhi"/>
    <x v="2"/>
    <s v="Desk Lamp"/>
    <s v="Ananya Rao"/>
    <x v="0"/>
    <n v="6"/>
    <n v="869.59"/>
    <x v="145"/>
  </r>
  <r>
    <s v="ORD0147"/>
    <x v="27"/>
    <x v="3"/>
    <s v="Delhi"/>
    <x v="4"/>
    <s v="Wireless Mouse"/>
    <s v="Karan Gupta"/>
    <x v="0"/>
    <n v="7"/>
    <n v="488.55"/>
    <x v="146"/>
  </r>
  <r>
    <s v="ORD0148"/>
    <x v="126"/>
    <x v="3"/>
    <s v="Uttar Pradesh"/>
    <x v="0"/>
    <s v="Formal Shirt"/>
    <s v="Karan Gupta"/>
    <x v="1"/>
    <n v="7"/>
    <n v="868.18"/>
    <x v="147"/>
  </r>
  <r>
    <s v="ORD0149"/>
    <x v="127"/>
    <x v="0"/>
    <s v="Odisha"/>
    <x v="0"/>
    <s v="Cotton T-Shirt"/>
    <s v="Siddharth Nair"/>
    <x v="1"/>
    <n v="6"/>
    <n v="573.39"/>
    <x v="148"/>
  </r>
  <r>
    <s v="ORD0150"/>
    <x v="111"/>
    <x v="3"/>
    <s v="Uttar Pradesh"/>
    <x v="4"/>
    <s v="Wireless Mouse"/>
    <s v="Priya Iyer"/>
    <x v="1"/>
    <n v="1"/>
    <n v="502.28"/>
    <x v="149"/>
  </r>
  <r>
    <s v="ORD0151"/>
    <x v="128"/>
    <x v="0"/>
    <s v="Odisha"/>
    <x v="1"/>
    <s v="Running Shoes"/>
    <s v="Diya Patel"/>
    <x v="1"/>
    <n v="6"/>
    <n v="2012.55"/>
    <x v="150"/>
  </r>
  <r>
    <s v="ORD0152"/>
    <x v="15"/>
    <x v="1"/>
    <s v="Telangana"/>
    <x v="0"/>
    <s v="Cotton T-Shirt"/>
    <s v="Siddharth Nair"/>
    <x v="1"/>
    <n v="5"/>
    <n v="570.97"/>
    <x v="151"/>
  </r>
  <r>
    <s v="ORD0153"/>
    <x v="129"/>
    <x v="1"/>
    <s v="Telangana"/>
    <x v="0"/>
    <s v="Denim Jeans"/>
    <s v="Karan Gupta"/>
    <x v="0"/>
    <n v="5"/>
    <n v="1344.65"/>
    <x v="152"/>
  </r>
  <r>
    <s v="ORD0154"/>
    <x v="130"/>
    <x v="2"/>
    <s v="Rajasthan"/>
    <x v="2"/>
    <s v="Table Lamp"/>
    <s v="Rohan Verma"/>
    <x v="0"/>
    <n v="2"/>
    <n v="739.26"/>
    <x v="153"/>
  </r>
  <r>
    <s v="ORD0155"/>
    <x v="131"/>
    <x v="0"/>
    <s v="Odisha"/>
    <x v="5"/>
    <s v="Sketch Book"/>
    <s v="Siddharth Nair"/>
    <x v="0"/>
    <n v="2"/>
    <n v="148.08000000000001"/>
    <x v="154"/>
  </r>
  <r>
    <s v="ORD0156"/>
    <x v="132"/>
    <x v="3"/>
    <s v="Punjab"/>
    <x v="5"/>
    <s v="Notebook Pack"/>
    <s v="Aarav Sharma"/>
    <x v="0"/>
    <n v="2"/>
    <n v="122.03"/>
    <x v="155"/>
  </r>
  <r>
    <s v="ORD0157"/>
    <x v="133"/>
    <x v="3"/>
    <s v="Delhi"/>
    <x v="5"/>
    <s v="Notebook Pack"/>
    <s v="Diya Patel"/>
    <x v="0"/>
    <n v="7"/>
    <n v="122.64"/>
    <x v="156"/>
  </r>
  <r>
    <s v="ORD0158"/>
    <x v="69"/>
    <x v="3"/>
    <s v="Punjab"/>
    <x v="4"/>
    <s v="Bluetooth Earbuds"/>
    <s v="Diya Patel"/>
    <x v="0"/>
    <n v="1"/>
    <n v="1726.71"/>
    <x v="157"/>
  </r>
  <r>
    <s v="ORD0159"/>
    <x v="134"/>
    <x v="0"/>
    <s v="West Bengal"/>
    <x v="1"/>
    <s v="Cricket Bat"/>
    <s v="Diya Patel"/>
    <x v="1"/>
    <n v="3"/>
    <n v="1528.1"/>
    <x v="158"/>
  </r>
  <r>
    <s v="ORD0160"/>
    <x v="135"/>
    <x v="1"/>
    <s v="Tamil Nadu"/>
    <x v="1"/>
    <s v="Cricket Bat"/>
    <s v="Siddharth Nair"/>
    <x v="1"/>
    <n v="4"/>
    <n v="1464.9"/>
    <x v="159"/>
  </r>
  <r>
    <s v="ORD0161"/>
    <x v="108"/>
    <x v="1"/>
    <s v="Karnataka"/>
    <x v="5"/>
    <s v="Notebook Pack"/>
    <s v="Diya Patel"/>
    <x v="0"/>
    <n v="1"/>
    <n v="122.15"/>
    <x v="160"/>
  </r>
  <r>
    <s v="ORD0162"/>
    <x v="51"/>
    <x v="0"/>
    <s v="Odisha"/>
    <x v="0"/>
    <s v="Denim Jeans"/>
    <s v="Karan Gupta"/>
    <x v="0"/>
    <n v="8"/>
    <n v="1317.84"/>
    <x v="161"/>
  </r>
  <r>
    <s v="ORD0163"/>
    <x v="101"/>
    <x v="1"/>
    <s v="Karnataka"/>
    <x v="1"/>
    <s v="Cricket Bat"/>
    <s v="Rohan Verma"/>
    <x v="1"/>
    <n v="8"/>
    <n v="1552.06"/>
    <x v="162"/>
  </r>
  <r>
    <s v="ORD0164"/>
    <x v="136"/>
    <x v="3"/>
    <s v="Punjab"/>
    <x v="5"/>
    <s v="Sketch Book"/>
    <s v="Aarav Sharma"/>
    <x v="1"/>
    <n v="6"/>
    <n v="152.77000000000001"/>
    <x v="163"/>
  </r>
  <r>
    <s v="ORD0165"/>
    <x v="137"/>
    <x v="3"/>
    <s v="Punjab"/>
    <x v="3"/>
    <s v="Moisturizer"/>
    <s v="Karan Gupta"/>
    <x v="0"/>
    <n v="7"/>
    <n v="334.02"/>
    <x v="164"/>
  </r>
  <r>
    <s v="ORD0166"/>
    <x v="16"/>
    <x v="1"/>
    <s v="Telangana"/>
    <x v="2"/>
    <s v="Table Lamp"/>
    <s v="Rohan Verma"/>
    <x v="1"/>
    <n v="1"/>
    <n v="755.17"/>
    <x v="165"/>
  </r>
  <r>
    <s v="ORD0167"/>
    <x v="39"/>
    <x v="0"/>
    <s v="Odisha"/>
    <x v="3"/>
    <s v="Lipstick"/>
    <s v="Ananya Rao"/>
    <x v="1"/>
    <n v="5"/>
    <n v="292.20999999999998"/>
    <x v="166"/>
  </r>
  <r>
    <s v="ORD0168"/>
    <x v="138"/>
    <x v="3"/>
    <s v="Punjab"/>
    <x v="1"/>
    <s v="Cricket Bat"/>
    <s v="Siddharth Nair"/>
    <x v="1"/>
    <n v="3"/>
    <n v="1524.93"/>
    <x v="167"/>
  </r>
  <r>
    <s v="ORD0169"/>
    <x v="86"/>
    <x v="2"/>
    <s v="Rajasthan"/>
    <x v="3"/>
    <s v="Face Wash"/>
    <s v="Priya Iyer"/>
    <x v="1"/>
    <n v="6"/>
    <n v="193.4"/>
    <x v="168"/>
  </r>
  <r>
    <s v="ORD0170"/>
    <x v="139"/>
    <x v="3"/>
    <s v="Uttar Pradesh"/>
    <x v="3"/>
    <s v="Moisturizer"/>
    <s v="Ananya Rao"/>
    <x v="0"/>
    <n v="10"/>
    <n v="338.77"/>
    <x v="169"/>
  </r>
  <r>
    <s v="ORD0171"/>
    <x v="36"/>
    <x v="1"/>
    <s v="Karnataka"/>
    <x v="0"/>
    <s v="Denim Jeans"/>
    <s v="Priya Iyer"/>
    <x v="1"/>
    <n v="5"/>
    <n v="1252.47"/>
    <x v="170"/>
  </r>
  <r>
    <s v="ORD0172"/>
    <x v="140"/>
    <x v="1"/>
    <s v="Karnataka"/>
    <x v="3"/>
    <s v="Moisturizer"/>
    <s v="Diya Patel"/>
    <x v="0"/>
    <n v="1"/>
    <n v="354.89"/>
    <x v="171"/>
  </r>
  <r>
    <s v="ORD0173"/>
    <x v="141"/>
    <x v="0"/>
    <s v="West Bengal"/>
    <x v="4"/>
    <s v="Wireless Mouse"/>
    <s v="Priya Iyer"/>
    <x v="0"/>
    <n v="10"/>
    <n v="515.89"/>
    <x v="172"/>
  </r>
  <r>
    <s v="ORD0174"/>
    <x v="132"/>
    <x v="1"/>
    <s v="Tamil Nadu"/>
    <x v="5"/>
    <s v="Notebook Pack"/>
    <s v="Ananya Rao"/>
    <x v="0"/>
    <n v="9"/>
    <n v="125.19"/>
    <x v="173"/>
  </r>
  <r>
    <s v="ORD0175"/>
    <x v="77"/>
    <x v="3"/>
    <s v="Punjab"/>
    <x v="5"/>
    <s v="Gel Pen Set"/>
    <s v="Siddharth Nair"/>
    <x v="1"/>
    <n v="6"/>
    <n v="87.61"/>
    <x v="174"/>
  </r>
  <r>
    <s v="ORD0176"/>
    <x v="56"/>
    <x v="1"/>
    <s v="Telangana"/>
    <x v="1"/>
    <s v="Running Shoes"/>
    <s v="Aarav Sharma"/>
    <x v="1"/>
    <n v="10"/>
    <n v="2053.42"/>
    <x v="175"/>
  </r>
  <r>
    <s v="ORD0177"/>
    <x v="16"/>
    <x v="2"/>
    <s v="Rajasthan"/>
    <x v="5"/>
    <s v="Notebook Pack"/>
    <s v="Ananya Rao"/>
    <x v="0"/>
    <n v="5"/>
    <n v="120.01"/>
    <x v="176"/>
  </r>
  <r>
    <s v="ORD0178"/>
    <x v="46"/>
    <x v="3"/>
    <s v="Uttar Pradesh"/>
    <x v="0"/>
    <s v="Cotton T-Shirt"/>
    <s v="Diya Patel"/>
    <x v="1"/>
    <n v="4"/>
    <n v="585.64"/>
    <x v="177"/>
  </r>
  <r>
    <s v="ORD0179"/>
    <x v="111"/>
    <x v="2"/>
    <s v="Maharashtra"/>
    <x v="5"/>
    <s v="Gel Pen Set"/>
    <s v="Siddharth Nair"/>
    <x v="0"/>
    <n v="9"/>
    <n v="92.46"/>
    <x v="178"/>
  </r>
  <r>
    <s v="ORD0180"/>
    <x v="142"/>
    <x v="0"/>
    <s v="West Bengal"/>
    <x v="4"/>
    <s v="Bluetooth Speaker"/>
    <s v="Aarav Sharma"/>
    <x v="0"/>
    <n v="7"/>
    <n v="1510.66"/>
    <x v="179"/>
  </r>
  <r>
    <s v="ORD0181"/>
    <x v="26"/>
    <x v="2"/>
    <s v="Gujarat"/>
    <x v="3"/>
    <s v="Moisturizer"/>
    <s v="Ananya Rao"/>
    <x v="1"/>
    <n v="5"/>
    <n v="341.15"/>
    <x v="180"/>
  </r>
  <r>
    <s v="ORD0182"/>
    <x v="143"/>
    <x v="2"/>
    <s v="Gujarat"/>
    <x v="0"/>
    <s v="Denim Jeans"/>
    <s v="Siddharth Nair"/>
    <x v="1"/>
    <n v="4"/>
    <n v="1338.86"/>
    <x v="181"/>
  </r>
  <r>
    <s v="ORD0183"/>
    <x v="81"/>
    <x v="0"/>
    <s v="West Bengal"/>
    <x v="0"/>
    <s v="Cotton T-Shirt"/>
    <s v="Neha Reddy"/>
    <x v="1"/>
    <n v="6"/>
    <n v="600.75"/>
    <x v="182"/>
  </r>
  <r>
    <s v="ORD0184"/>
    <x v="144"/>
    <x v="1"/>
    <s v="Tamil Nadu"/>
    <x v="2"/>
    <s v="Non-Stick Pan"/>
    <s v="Siddharth Nair"/>
    <x v="1"/>
    <n v="4"/>
    <n v="1149.8"/>
    <x v="183"/>
  </r>
  <r>
    <s v="ORD0185"/>
    <x v="145"/>
    <x v="0"/>
    <s v="West Bengal"/>
    <x v="3"/>
    <s v="Moisturizer"/>
    <s v="Aarav Sharma"/>
    <x v="1"/>
    <n v="7"/>
    <n v="351.78"/>
    <x v="184"/>
  </r>
  <r>
    <s v="ORD0186"/>
    <x v="146"/>
    <x v="2"/>
    <s v="Maharashtra"/>
    <x v="4"/>
    <s v="Bluetooth Earbuds"/>
    <s v="Rohan Verma"/>
    <x v="0"/>
    <n v="1"/>
    <n v="1877.54"/>
    <x v="185"/>
  </r>
  <r>
    <s v="ORD0187"/>
    <x v="147"/>
    <x v="3"/>
    <s v="Delhi"/>
    <x v="1"/>
    <s v="Running Shoes"/>
    <s v="Ananya Rao"/>
    <x v="0"/>
    <n v="9"/>
    <n v="1951.2"/>
    <x v="186"/>
  </r>
  <r>
    <s v="ORD0188"/>
    <x v="148"/>
    <x v="0"/>
    <s v="West Bengal"/>
    <x v="5"/>
    <s v="Gel Pen Set"/>
    <s v="Ananya Rao"/>
    <x v="1"/>
    <n v="7"/>
    <n v="94.31"/>
    <x v="187"/>
  </r>
  <r>
    <s v="ORD0189"/>
    <x v="51"/>
    <x v="1"/>
    <s v="Telangana"/>
    <x v="5"/>
    <s v="Gel Pen Set"/>
    <s v="Siddharth Nair"/>
    <x v="0"/>
    <n v="6"/>
    <n v="87.82"/>
    <x v="188"/>
  </r>
  <r>
    <s v="ORD0190"/>
    <x v="65"/>
    <x v="0"/>
    <s v="West Bengal"/>
    <x v="4"/>
    <s v="Wireless Mouse"/>
    <s v="Neha Reddy"/>
    <x v="0"/>
    <n v="5"/>
    <n v="499.35"/>
    <x v="189"/>
  </r>
  <r>
    <s v="ORD0191"/>
    <x v="37"/>
    <x v="2"/>
    <s v="Maharashtra"/>
    <x v="0"/>
    <s v="Formal Shirt"/>
    <s v="Rohan Verma"/>
    <x v="0"/>
    <n v="9"/>
    <n v="873.38"/>
    <x v="190"/>
  </r>
  <r>
    <s v="ORD0192"/>
    <x v="149"/>
    <x v="0"/>
    <s v="West Bengal"/>
    <x v="2"/>
    <s v="Desk Lamp"/>
    <s v="Aarav Sharma"/>
    <x v="1"/>
    <n v="9"/>
    <n v="906.31"/>
    <x v="191"/>
  </r>
  <r>
    <s v="ORD0193"/>
    <x v="60"/>
    <x v="1"/>
    <s v="Telangana"/>
    <x v="3"/>
    <s v="Moisturizer"/>
    <s v="Siddharth Nair"/>
    <x v="0"/>
    <n v="3"/>
    <n v="357.76"/>
    <x v="192"/>
  </r>
  <r>
    <s v="ORD0194"/>
    <x v="150"/>
    <x v="2"/>
    <s v="Maharashtra"/>
    <x v="3"/>
    <s v="Lipstick"/>
    <s v="Diya Patel"/>
    <x v="0"/>
    <n v="4"/>
    <n v="308.89"/>
    <x v="193"/>
  </r>
  <r>
    <s v="ORD0195"/>
    <x v="151"/>
    <x v="2"/>
    <s v="Maharashtra"/>
    <x v="2"/>
    <s v="Non-Stick Pan"/>
    <s v="Aarav Sharma"/>
    <x v="1"/>
    <n v="7"/>
    <n v="1169.8800000000001"/>
    <x v="194"/>
  </r>
  <r>
    <s v="ORD0196"/>
    <x v="152"/>
    <x v="2"/>
    <s v="Gujarat"/>
    <x v="3"/>
    <s v="Lipstick"/>
    <s v="Rohan Verma"/>
    <x v="0"/>
    <n v="5"/>
    <n v="309.7"/>
    <x v="195"/>
  </r>
  <r>
    <s v="ORD0197"/>
    <x v="84"/>
    <x v="2"/>
    <s v="Rajasthan"/>
    <x v="5"/>
    <s v="Notebook Pack"/>
    <s v="Aarav Sharma"/>
    <x v="0"/>
    <n v="7"/>
    <n v="125.51"/>
    <x v="196"/>
  </r>
  <r>
    <s v="ORD0198"/>
    <x v="16"/>
    <x v="2"/>
    <s v="Rajasthan"/>
    <x v="5"/>
    <s v="Gel Pen Set"/>
    <s v="Priya Iyer"/>
    <x v="1"/>
    <n v="10"/>
    <n v="90.48"/>
    <x v="197"/>
  </r>
  <r>
    <s v="ORD0199"/>
    <x v="153"/>
    <x v="0"/>
    <s v="West Bengal"/>
    <x v="3"/>
    <s v="Lipstick"/>
    <s v="Rohan Verma"/>
    <x v="0"/>
    <n v="9"/>
    <n v="309.3"/>
    <x v="198"/>
  </r>
  <r>
    <s v="ORD0200"/>
    <x v="85"/>
    <x v="0"/>
    <s v="Odisha"/>
    <x v="3"/>
    <s v="Face Wash"/>
    <s v="Neha Reddy"/>
    <x v="1"/>
    <n v="8"/>
    <n v="199.22"/>
    <x v="199"/>
  </r>
  <r>
    <s v="ORD0201"/>
    <x v="154"/>
    <x v="2"/>
    <s v="Rajasthan"/>
    <x v="4"/>
    <s v="USB Cable"/>
    <s v="Karan Gupta"/>
    <x v="0"/>
    <n v="8"/>
    <n v="147.87"/>
    <x v="200"/>
  </r>
  <r>
    <s v="ORD0202"/>
    <x v="155"/>
    <x v="0"/>
    <s v="Odisha"/>
    <x v="3"/>
    <s v="Lipstick"/>
    <s v="Priya Iyer"/>
    <x v="0"/>
    <n v="5"/>
    <n v="295.52999999999997"/>
    <x v="201"/>
  </r>
  <r>
    <s v="ORD0203"/>
    <x v="116"/>
    <x v="1"/>
    <s v="Karnataka"/>
    <x v="3"/>
    <s v="Moisturizer"/>
    <s v="Karan Gupta"/>
    <x v="1"/>
    <n v="10"/>
    <n v="347.6"/>
    <x v="202"/>
  </r>
  <r>
    <s v="ORD0204"/>
    <x v="156"/>
    <x v="0"/>
    <s v="Odisha"/>
    <x v="0"/>
    <s v="Cotton T-Shirt"/>
    <s v="Siddharth Nair"/>
    <x v="1"/>
    <n v="9"/>
    <n v="616.30999999999995"/>
    <x v="203"/>
  </r>
  <r>
    <s v="ORD0205"/>
    <x v="157"/>
    <x v="0"/>
    <s v="West Bengal"/>
    <x v="0"/>
    <s v="Cotton T-Shirt"/>
    <s v="Ananya Rao"/>
    <x v="0"/>
    <n v="3"/>
    <n v="622.33000000000004"/>
    <x v="204"/>
  </r>
  <r>
    <s v="ORD0206"/>
    <x v="4"/>
    <x v="2"/>
    <s v="Maharashtra"/>
    <x v="4"/>
    <s v="Bluetooth Earbuds"/>
    <s v="Aarav Sharma"/>
    <x v="0"/>
    <n v="10"/>
    <n v="1830.82"/>
    <x v="205"/>
  </r>
  <r>
    <s v="ORD0207"/>
    <x v="141"/>
    <x v="3"/>
    <s v="Delhi"/>
    <x v="5"/>
    <s v="Sketch Book"/>
    <s v="Diya Patel"/>
    <x v="1"/>
    <n v="9"/>
    <n v="153.16"/>
    <x v="206"/>
  </r>
  <r>
    <s v="ORD0208"/>
    <x v="91"/>
    <x v="3"/>
    <s v="Delhi"/>
    <x v="4"/>
    <s v="Wireless Mouse"/>
    <s v="Ananya Rao"/>
    <x v="1"/>
    <n v="4"/>
    <n v="482.43"/>
    <x v="207"/>
  </r>
  <r>
    <s v="ORD0209"/>
    <x v="158"/>
    <x v="1"/>
    <s v="Tamil Nadu"/>
    <x v="0"/>
    <s v="Cotton T-Shirt"/>
    <s v="Neha Reddy"/>
    <x v="0"/>
    <n v="6"/>
    <n v="606.32000000000005"/>
    <x v="208"/>
  </r>
  <r>
    <s v="ORD0210"/>
    <x v="159"/>
    <x v="1"/>
    <s v="Tamil Nadu"/>
    <x v="4"/>
    <s v="Bluetooth Earbuds"/>
    <s v="Ananya Rao"/>
    <x v="0"/>
    <n v="8"/>
    <n v="1779.55"/>
    <x v="209"/>
  </r>
  <r>
    <s v="ORD0211"/>
    <x v="160"/>
    <x v="3"/>
    <s v="Uttar Pradesh"/>
    <x v="5"/>
    <s v="Sketch Book"/>
    <s v="Siddharth Nair"/>
    <x v="0"/>
    <n v="7"/>
    <n v="146.84"/>
    <x v="210"/>
  </r>
  <r>
    <s v="ORD0212"/>
    <x v="23"/>
    <x v="0"/>
    <s v="Odisha"/>
    <x v="2"/>
    <s v="Table Lamp"/>
    <s v="Ananya Rao"/>
    <x v="0"/>
    <n v="3"/>
    <n v="755.64"/>
    <x v="211"/>
  </r>
  <r>
    <s v="ORD0213"/>
    <x v="161"/>
    <x v="0"/>
    <s v="Odisha"/>
    <x v="4"/>
    <s v="Bluetooth Speaker"/>
    <s v="Rohan Verma"/>
    <x v="1"/>
    <n v="7"/>
    <n v="1463.18"/>
    <x v="212"/>
  </r>
  <r>
    <s v="ORD0214"/>
    <x v="7"/>
    <x v="1"/>
    <s v="Karnataka"/>
    <x v="2"/>
    <s v="Desk Lamp"/>
    <s v="Aarav Sharma"/>
    <x v="1"/>
    <n v="10"/>
    <n v="915.45"/>
    <x v="213"/>
  </r>
  <r>
    <s v="ORD0215"/>
    <x v="149"/>
    <x v="0"/>
    <s v="Odisha"/>
    <x v="5"/>
    <s v="Sketch Book"/>
    <s v="Aarav Sharma"/>
    <x v="1"/>
    <n v="10"/>
    <n v="151.31"/>
    <x v="214"/>
  </r>
  <r>
    <s v="ORD0216"/>
    <x v="162"/>
    <x v="1"/>
    <s v="Karnataka"/>
    <x v="1"/>
    <s v="Cricket Bat"/>
    <s v="Rohan Verma"/>
    <x v="0"/>
    <n v="7"/>
    <n v="1448.35"/>
    <x v="215"/>
  </r>
  <r>
    <s v="ORD0217"/>
    <x v="163"/>
    <x v="0"/>
    <s v="Odisha"/>
    <x v="3"/>
    <s v="Face Wash"/>
    <s v="Priya Iyer"/>
    <x v="1"/>
    <n v="5"/>
    <n v="198.19"/>
    <x v="216"/>
  </r>
  <r>
    <s v="ORD0218"/>
    <x v="96"/>
    <x v="1"/>
    <s v="Telangana"/>
    <x v="4"/>
    <s v="Bluetooth Earbuds"/>
    <s v="Neha Reddy"/>
    <x v="1"/>
    <n v="10"/>
    <n v="1802.73"/>
    <x v="217"/>
  </r>
  <r>
    <s v="ORD0219"/>
    <x v="154"/>
    <x v="1"/>
    <s v="Tamil Nadu"/>
    <x v="2"/>
    <s v="Non-Stick Pan"/>
    <s v="Rohan Verma"/>
    <x v="1"/>
    <n v="7"/>
    <n v="1205.2"/>
    <x v="218"/>
  </r>
  <r>
    <s v="ORD0220"/>
    <x v="7"/>
    <x v="0"/>
    <s v="Odisha"/>
    <x v="0"/>
    <s v="Denim Jeans"/>
    <s v="Priya Iyer"/>
    <x v="0"/>
    <n v="3"/>
    <n v="1243.5899999999999"/>
    <x v="2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7A4F6C-B8BF-684E-A4A9-79FCAD14F882}" name="PivotTable1" cacheId="4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11" firstHeaderRow="0" firstDataRow="1" firstDataCol="1" rowPageCount="2" colPageCount="1"/>
  <pivotFields count="14">
    <pivotField showAll="0"/>
    <pivotField numFmtId="14" showAll="0">
      <items count="165">
        <item x="112"/>
        <item x="20"/>
        <item x="144"/>
        <item x="106"/>
        <item x="113"/>
        <item x="98"/>
        <item x="46"/>
        <item x="162"/>
        <item x="43"/>
        <item x="107"/>
        <item x="109"/>
        <item x="160"/>
        <item x="85"/>
        <item x="163"/>
        <item x="28"/>
        <item x="58"/>
        <item x="21"/>
        <item x="97"/>
        <item x="5"/>
        <item x="79"/>
        <item x="125"/>
        <item x="61"/>
        <item x="99"/>
        <item x="75"/>
        <item x="83"/>
        <item x="52"/>
        <item x="80"/>
        <item x="54"/>
        <item x="78"/>
        <item x="41"/>
        <item x="156"/>
        <item x="145"/>
        <item x="13"/>
        <item x="33"/>
        <item x="161"/>
        <item x="57"/>
        <item x="132"/>
        <item x="38"/>
        <item x="72"/>
        <item x="108"/>
        <item x="91"/>
        <item x="45"/>
        <item x="48"/>
        <item x="154"/>
        <item x="24"/>
        <item x="56"/>
        <item x="102"/>
        <item x="121"/>
        <item x="136"/>
        <item x="25"/>
        <item x="146"/>
        <item x="89"/>
        <item x="73"/>
        <item x="148"/>
        <item x="104"/>
        <item x="44"/>
        <item x="77"/>
        <item x="0"/>
        <item x="133"/>
        <item x="120"/>
        <item x="122"/>
        <item x="15"/>
        <item x="90"/>
        <item x="103"/>
        <item x="69"/>
        <item x="66"/>
        <item x="31"/>
        <item x="127"/>
        <item x="62"/>
        <item x="84"/>
        <item x="152"/>
        <item x="159"/>
        <item x="70"/>
        <item x="50"/>
        <item x="153"/>
        <item x="105"/>
        <item x="115"/>
        <item x="140"/>
        <item x="42"/>
        <item x="67"/>
        <item x="32"/>
        <item x="71"/>
        <item x="30"/>
        <item x="114"/>
        <item x="23"/>
        <item x="134"/>
        <item x="53"/>
        <item x="6"/>
        <item x="155"/>
        <item x="117"/>
        <item x="9"/>
        <item x="143"/>
        <item x="123"/>
        <item x="157"/>
        <item x="36"/>
        <item x="7"/>
        <item x="119"/>
        <item x="88"/>
        <item x="116"/>
        <item x="111"/>
        <item x="59"/>
        <item x="95"/>
        <item x="126"/>
        <item x="128"/>
        <item x="10"/>
        <item x="74"/>
        <item x="40"/>
        <item x="142"/>
        <item x="131"/>
        <item x="86"/>
        <item x="2"/>
        <item x="135"/>
        <item x="137"/>
        <item x="110"/>
        <item x="35"/>
        <item x="130"/>
        <item x="49"/>
        <item x="27"/>
        <item x="81"/>
        <item x="76"/>
        <item x="39"/>
        <item x="37"/>
        <item x="12"/>
        <item x="147"/>
        <item x="47"/>
        <item x="3"/>
        <item x="17"/>
        <item x="124"/>
        <item x="151"/>
        <item x="11"/>
        <item x="65"/>
        <item x="19"/>
        <item x="93"/>
        <item x="82"/>
        <item x="96"/>
        <item x="1"/>
        <item x="158"/>
        <item x="29"/>
        <item x="138"/>
        <item x="92"/>
        <item x="63"/>
        <item x="139"/>
        <item x="22"/>
        <item x="149"/>
        <item x="26"/>
        <item x="100"/>
        <item x="8"/>
        <item x="87"/>
        <item x="34"/>
        <item x="14"/>
        <item x="64"/>
        <item x="101"/>
        <item x="60"/>
        <item x="16"/>
        <item x="150"/>
        <item x="68"/>
        <item x="94"/>
        <item x="18"/>
        <item x="4"/>
        <item x="141"/>
        <item x="51"/>
        <item x="129"/>
        <item x="55"/>
        <item x="118"/>
        <item t="default"/>
      </items>
    </pivotField>
    <pivotField axis="axisPage" multipleItemSelectionAllowed="1" showAll="0">
      <items count="5">
        <item h="1" x="0"/>
        <item x="3"/>
        <item h="1" x="1"/>
        <item h="1" x="2"/>
        <item t="default"/>
      </items>
    </pivotField>
    <pivotField showAll="0"/>
    <pivotField axis="axisRow" showAll="0">
      <items count="7">
        <item x="0"/>
        <item x="3"/>
        <item x="4"/>
        <item x="2"/>
        <item x="1"/>
        <item x="5"/>
        <item t="default" sd="0"/>
      </items>
    </pivotField>
    <pivotField showAll="0"/>
    <pivotField showAll="0"/>
    <pivotField axis="axisPage" multipleItemSelectionAllowed="1" showAll="0">
      <items count="3">
        <item x="1"/>
        <item h="1"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ataField="1" dragToRow="0" dragToCol="0" dragToPage="0" showAll="0" defaultSubtotal="0"/>
  </pivotFields>
  <rowFields count="1">
    <field x="4"/>
  </rowFields>
  <rowItems count="7">
    <i>
      <x/>
    </i>
    <i>
      <x v="1"/>
    </i>
    <i>
      <x v="2"/>
    </i>
    <i>
      <x v="3"/>
    </i>
    <i>
      <x v="4"/>
    </i>
    <i>
      <x v="5"/>
    </i>
    <i t="grand">
      <x/>
    </i>
  </rowItems>
  <colFields count="1">
    <field x="-2"/>
  </colFields>
  <colItems count="5">
    <i>
      <x/>
    </i>
    <i i="1">
      <x v="1"/>
    </i>
    <i i="2">
      <x v="2"/>
    </i>
    <i i="3">
      <x v="3"/>
    </i>
    <i i="4">
      <x v="4"/>
    </i>
  </colItems>
  <pageFields count="2">
    <pageField fld="7" hier="-1"/>
    <pageField fld="2" hier="-1"/>
  </pageFields>
  <dataFields count="5">
    <dataField name="Sum of Total Sales" fld="10" baseField="0" baseItem="0" numFmtId="164"/>
    <dataField name="Average of Total Sales2" fld="10" subtotal="average" baseField="0" baseItem="0" numFmtId="164"/>
    <dataField name="Max. of Total Sales2" fld="10" subtotal="max" baseField="0" baseItem="0" numFmtId="164"/>
    <dataField name="Min. of Total Sales2" fld="10" subtotal="min" baseField="0" baseItem="0" numFmtId="164"/>
    <dataField name="Sum of avg price per unit" fld="13" baseField="0" baseItem="0"/>
  </dataFields>
  <formats count="1">
    <format dxfId="1">
      <pivotArea outline="0" collapsedLevelsAreSubtotals="1" fieldPosition="0">
        <references count="1">
          <reference field="4294967294" count="4" selected="0">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D5AFDA-6D12-6C48-AB4A-21D028881BEA}" name="PivotTable9" cacheId="4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rowPageCount="1" colPageCount="1"/>
  <pivotFields count="14">
    <pivotField showAll="0"/>
    <pivotField numFmtId="14" showAll="0">
      <items count="165">
        <item x="112"/>
        <item x="20"/>
        <item x="144"/>
        <item x="106"/>
        <item x="113"/>
        <item x="98"/>
        <item x="46"/>
        <item x="162"/>
        <item x="43"/>
        <item x="107"/>
        <item x="109"/>
        <item x="160"/>
        <item x="85"/>
        <item x="163"/>
        <item x="28"/>
        <item x="58"/>
        <item x="21"/>
        <item x="97"/>
        <item x="5"/>
        <item x="79"/>
        <item x="125"/>
        <item x="61"/>
        <item x="99"/>
        <item x="75"/>
        <item x="83"/>
        <item x="52"/>
        <item x="80"/>
        <item x="54"/>
        <item x="78"/>
        <item x="41"/>
        <item x="156"/>
        <item x="145"/>
        <item x="13"/>
        <item x="33"/>
        <item x="161"/>
        <item x="57"/>
        <item x="132"/>
        <item x="38"/>
        <item x="72"/>
        <item x="108"/>
        <item x="91"/>
        <item x="45"/>
        <item x="48"/>
        <item x="154"/>
        <item x="24"/>
        <item x="56"/>
        <item x="102"/>
        <item x="121"/>
        <item x="136"/>
        <item x="25"/>
        <item x="146"/>
        <item x="89"/>
        <item x="73"/>
        <item x="148"/>
        <item x="104"/>
        <item x="44"/>
        <item x="77"/>
        <item x="0"/>
        <item x="133"/>
        <item x="120"/>
        <item x="122"/>
        <item x="15"/>
        <item x="90"/>
        <item x="103"/>
        <item x="69"/>
        <item x="66"/>
        <item x="31"/>
        <item x="127"/>
        <item x="62"/>
        <item x="84"/>
        <item x="152"/>
        <item x="159"/>
        <item x="70"/>
        <item x="50"/>
        <item x="153"/>
        <item x="105"/>
        <item x="115"/>
        <item x="140"/>
        <item x="42"/>
        <item x="67"/>
        <item x="32"/>
        <item x="71"/>
        <item x="30"/>
        <item x="114"/>
        <item x="23"/>
        <item x="134"/>
        <item x="53"/>
        <item x="6"/>
        <item x="155"/>
        <item x="117"/>
        <item x="9"/>
        <item x="143"/>
        <item x="123"/>
        <item x="157"/>
        <item x="36"/>
        <item x="7"/>
        <item x="119"/>
        <item x="88"/>
        <item x="116"/>
        <item x="111"/>
        <item x="59"/>
        <item x="95"/>
        <item x="126"/>
        <item x="128"/>
        <item x="10"/>
        <item x="74"/>
        <item x="40"/>
        <item x="142"/>
        <item x="131"/>
        <item x="86"/>
        <item x="2"/>
        <item x="135"/>
        <item x="137"/>
        <item x="110"/>
        <item x="35"/>
        <item x="130"/>
        <item x="49"/>
        <item x="27"/>
        <item x="81"/>
        <item x="76"/>
        <item x="39"/>
        <item x="37"/>
        <item x="12"/>
        <item x="147"/>
        <item x="47"/>
        <item x="3"/>
        <item x="17"/>
        <item x="124"/>
        <item x="151"/>
        <item x="11"/>
        <item x="65"/>
        <item x="19"/>
        <item x="93"/>
        <item x="82"/>
        <item x="96"/>
        <item x="1"/>
        <item x="158"/>
        <item x="29"/>
        <item x="138"/>
        <item x="92"/>
        <item x="63"/>
        <item x="139"/>
        <item x="22"/>
        <item x="149"/>
        <item x="26"/>
        <item x="100"/>
        <item x="8"/>
        <item x="87"/>
        <item x="34"/>
        <item x="14"/>
        <item x="64"/>
        <item x="101"/>
        <item x="60"/>
        <item x="16"/>
        <item x="150"/>
        <item x="68"/>
        <item x="94"/>
        <item x="18"/>
        <item x="4"/>
        <item x="141"/>
        <item x="51"/>
        <item x="129"/>
        <item x="55"/>
        <item x="118"/>
        <item t="default"/>
      </items>
    </pivotField>
    <pivotField axis="axisPage" showAll="0">
      <items count="5">
        <item x="0"/>
        <item x="3"/>
        <item x="1"/>
        <item x="2"/>
        <item t="default"/>
      </items>
    </pivotField>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dragToRow="0" dragToCol="0" dragToPage="0" showAll="0" defaultSubtotal="0"/>
  </pivotFields>
  <rowFields count="2">
    <field x="12"/>
    <field x="11"/>
  </rowFields>
  <rowItems count="17">
    <i>
      <x/>
    </i>
    <i r="1">
      <x v="1"/>
    </i>
    <i r="1">
      <x v="2"/>
    </i>
    <i r="1">
      <x v="3"/>
    </i>
    <i>
      <x v="1"/>
    </i>
    <i r="1">
      <x v="4"/>
    </i>
    <i r="1">
      <x v="5"/>
    </i>
    <i r="1">
      <x v="6"/>
    </i>
    <i>
      <x v="2"/>
    </i>
    <i r="1">
      <x v="7"/>
    </i>
    <i r="1">
      <x v="8"/>
    </i>
    <i r="1">
      <x v="9"/>
    </i>
    <i>
      <x v="3"/>
    </i>
    <i r="1">
      <x v="10"/>
    </i>
    <i r="1">
      <x v="11"/>
    </i>
    <i r="1">
      <x v="12"/>
    </i>
    <i t="grand">
      <x/>
    </i>
  </rowItems>
  <colItems count="1">
    <i/>
  </colItems>
  <pageFields count="1">
    <pageField fld="2" item="0" hier="-1"/>
  </pageFields>
  <dataFields count="1">
    <dataField name="Sum of Total Sales" fld="10" showDataAs="runTotal"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D5AFDA-6D12-6C48-AB4A-21D028881BEA}" name="PivotTable8" cacheId="4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rowPageCount="1" colPageCount="1"/>
  <pivotFields count="14">
    <pivotField showAll="0"/>
    <pivotField numFmtId="14" showAll="0">
      <items count="165">
        <item x="112"/>
        <item x="20"/>
        <item x="144"/>
        <item x="106"/>
        <item x="113"/>
        <item x="98"/>
        <item x="46"/>
        <item x="162"/>
        <item x="43"/>
        <item x="107"/>
        <item x="109"/>
        <item x="160"/>
        <item x="85"/>
        <item x="163"/>
        <item x="28"/>
        <item x="58"/>
        <item x="21"/>
        <item x="97"/>
        <item x="5"/>
        <item x="79"/>
        <item x="125"/>
        <item x="61"/>
        <item x="99"/>
        <item x="75"/>
        <item x="83"/>
        <item x="52"/>
        <item x="80"/>
        <item x="54"/>
        <item x="78"/>
        <item x="41"/>
        <item x="156"/>
        <item x="145"/>
        <item x="13"/>
        <item x="33"/>
        <item x="161"/>
        <item x="57"/>
        <item x="132"/>
        <item x="38"/>
        <item x="72"/>
        <item x="108"/>
        <item x="91"/>
        <item x="45"/>
        <item x="48"/>
        <item x="154"/>
        <item x="24"/>
        <item x="56"/>
        <item x="102"/>
        <item x="121"/>
        <item x="136"/>
        <item x="25"/>
        <item x="146"/>
        <item x="89"/>
        <item x="73"/>
        <item x="148"/>
        <item x="104"/>
        <item x="44"/>
        <item x="77"/>
        <item x="0"/>
        <item x="133"/>
        <item x="120"/>
        <item x="122"/>
        <item x="15"/>
        <item x="90"/>
        <item x="103"/>
        <item x="69"/>
        <item x="66"/>
        <item x="31"/>
        <item x="127"/>
        <item x="62"/>
        <item x="84"/>
        <item x="152"/>
        <item x="159"/>
        <item x="70"/>
        <item x="50"/>
        <item x="153"/>
        <item x="105"/>
        <item x="115"/>
        <item x="140"/>
        <item x="42"/>
        <item x="67"/>
        <item x="32"/>
        <item x="71"/>
        <item x="30"/>
        <item x="114"/>
        <item x="23"/>
        <item x="134"/>
        <item x="53"/>
        <item x="6"/>
        <item x="155"/>
        <item x="117"/>
        <item x="9"/>
        <item x="143"/>
        <item x="123"/>
        <item x="157"/>
        <item x="36"/>
        <item x="7"/>
        <item x="119"/>
        <item x="88"/>
        <item x="116"/>
        <item x="111"/>
        <item x="59"/>
        <item x="95"/>
        <item x="126"/>
        <item x="128"/>
        <item x="10"/>
        <item x="74"/>
        <item x="40"/>
        <item x="142"/>
        <item x="131"/>
        <item x="86"/>
        <item x="2"/>
        <item x="135"/>
        <item x="137"/>
        <item x="110"/>
        <item x="35"/>
        <item x="130"/>
        <item x="49"/>
        <item x="27"/>
        <item x="81"/>
        <item x="76"/>
        <item x="39"/>
        <item x="37"/>
        <item x="12"/>
        <item x="147"/>
        <item x="47"/>
        <item x="3"/>
        <item x="17"/>
        <item x="124"/>
        <item x="151"/>
        <item x="11"/>
        <item x="65"/>
        <item x="19"/>
        <item x="93"/>
        <item x="82"/>
        <item x="96"/>
        <item x="1"/>
        <item x="158"/>
        <item x="29"/>
        <item x="138"/>
        <item x="92"/>
        <item x="63"/>
        <item x="139"/>
        <item x="22"/>
        <item x="149"/>
        <item x="26"/>
        <item x="100"/>
        <item x="8"/>
        <item x="87"/>
        <item x="34"/>
        <item x="14"/>
        <item x="64"/>
        <item x="101"/>
        <item x="60"/>
        <item x="16"/>
        <item x="150"/>
        <item x="68"/>
        <item x="94"/>
        <item x="18"/>
        <item x="4"/>
        <item x="141"/>
        <item x="51"/>
        <item x="129"/>
        <item x="55"/>
        <item x="118"/>
        <item t="default"/>
      </items>
    </pivotField>
    <pivotField axis="axisPage" showAll="0">
      <items count="5">
        <item x="0"/>
        <item x="3"/>
        <item x="1"/>
        <item x="2"/>
        <item t="default"/>
      </items>
    </pivotField>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dragToRow="0" dragToCol="0" dragToPage="0" showAll="0" defaultSubtotal="0"/>
  </pivotFields>
  <rowFields count="2">
    <field x="12"/>
    <field x="11"/>
  </rowFields>
  <rowItems count="17">
    <i>
      <x/>
    </i>
    <i r="1">
      <x v="1"/>
    </i>
    <i r="1">
      <x v="2"/>
    </i>
    <i r="1">
      <x v="3"/>
    </i>
    <i>
      <x v="1"/>
    </i>
    <i r="1">
      <x v="4"/>
    </i>
    <i r="1">
      <x v="5"/>
    </i>
    <i r="1">
      <x v="6"/>
    </i>
    <i>
      <x v="2"/>
    </i>
    <i r="1">
      <x v="7"/>
    </i>
    <i r="1">
      <x v="8"/>
    </i>
    <i r="1">
      <x v="9"/>
    </i>
    <i>
      <x v="3"/>
    </i>
    <i r="1">
      <x v="10"/>
    </i>
    <i r="1">
      <x v="11"/>
    </i>
    <i r="1">
      <x v="12"/>
    </i>
    <i t="grand">
      <x/>
    </i>
  </rowItems>
  <colItems count="1">
    <i/>
  </colItems>
  <pageFields count="1">
    <pageField fld="2" item="1" hier="-1"/>
  </pageFields>
  <dataFields count="1">
    <dataField name="Sum of Total Sales" fld="10" showDataAs="runTotal"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D5AFDA-6D12-6C48-AB4A-21D028881BEA}" name="PivotTable7" cacheId="4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rowPageCount="1" colPageCount="1"/>
  <pivotFields count="14">
    <pivotField showAll="0"/>
    <pivotField numFmtId="14" showAll="0">
      <items count="165">
        <item x="112"/>
        <item x="20"/>
        <item x="144"/>
        <item x="106"/>
        <item x="113"/>
        <item x="98"/>
        <item x="46"/>
        <item x="162"/>
        <item x="43"/>
        <item x="107"/>
        <item x="109"/>
        <item x="160"/>
        <item x="85"/>
        <item x="163"/>
        <item x="28"/>
        <item x="58"/>
        <item x="21"/>
        <item x="97"/>
        <item x="5"/>
        <item x="79"/>
        <item x="125"/>
        <item x="61"/>
        <item x="99"/>
        <item x="75"/>
        <item x="83"/>
        <item x="52"/>
        <item x="80"/>
        <item x="54"/>
        <item x="78"/>
        <item x="41"/>
        <item x="156"/>
        <item x="145"/>
        <item x="13"/>
        <item x="33"/>
        <item x="161"/>
        <item x="57"/>
        <item x="132"/>
        <item x="38"/>
        <item x="72"/>
        <item x="108"/>
        <item x="91"/>
        <item x="45"/>
        <item x="48"/>
        <item x="154"/>
        <item x="24"/>
        <item x="56"/>
        <item x="102"/>
        <item x="121"/>
        <item x="136"/>
        <item x="25"/>
        <item x="146"/>
        <item x="89"/>
        <item x="73"/>
        <item x="148"/>
        <item x="104"/>
        <item x="44"/>
        <item x="77"/>
        <item x="0"/>
        <item x="133"/>
        <item x="120"/>
        <item x="122"/>
        <item x="15"/>
        <item x="90"/>
        <item x="103"/>
        <item x="69"/>
        <item x="66"/>
        <item x="31"/>
        <item x="127"/>
        <item x="62"/>
        <item x="84"/>
        <item x="152"/>
        <item x="159"/>
        <item x="70"/>
        <item x="50"/>
        <item x="153"/>
        <item x="105"/>
        <item x="115"/>
        <item x="140"/>
        <item x="42"/>
        <item x="67"/>
        <item x="32"/>
        <item x="71"/>
        <item x="30"/>
        <item x="114"/>
        <item x="23"/>
        <item x="134"/>
        <item x="53"/>
        <item x="6"/>
        <item x="155"/>
        <item x="117"/>
        <item x="9"/>
        <item x="143"/>
        <item x="123"/>
        <item x="157"/>
        <item x="36"/>
        <item x="7"/>
        <item x="119"/>
        <item x="88"/>
        <item x="116"/>
        <item x="111"/>
        <item x="59"/>
        <item x="95"/>
        <item x="126"/>
        <item x="128"/>
        <item x="10"/>
        <item x="74"/>
        <item x="40"/>
        <item x="142"/>
        <item x="131"/>
        <item x="86"/>
        <item x="2"/>
        <item x="135"/>
        <item x="137"/>
        <item x="110"/>
        <item x="35"/>
        <item x="130"/>
        <item x="49"/>
        <item x="27"/>
        <item x="81"/>
        <item x="76"/>
        <item x="39"/>
        <item x="37"/>
        <item x="12"/>
        <item x="147"/>
        <item x="47"/>
        <item x="3"/>
        <item x="17"/>
        <item x="124"/>
        <item x="151"/>
        <item x="11"/>
        <item x="65"/>
        <item x="19"/>
        <item x="93"/>
        <item x="82"/>
        <item x="96"/>
        <item x="1"/>
        <item x="158"/>
        <item x="29"/>
        <item x="138"/>
        <item x="92"/>
        <item x="63"/>
        <item x="139"/>
        <item x="22"/>
        <item x="149"/>
        <item x="26"/>
        <item x="100"/>
        <item x="8"/>
        <item x="87"/>
        <item x="34"/>
        <item x="14"/>
        <item x="64"/>
        <item x="101"/>
        <item x="60"/>
        <item x="16"/>
        <item x="150"/>
        <item x="68"/>
        <item x="94"/>
        <item x="18"/>
        <item x="4"/>
        <item x="141"/>
        <item x="51"/>
        <item x="129"/>
        <item x="55"/>
        <item x="118"/>
        <item t="default"/>
      </items>
    </pivotField>
    <pivotField axis="axisPage" showAll="0">
      <items count="5">
        <item x="0"/>
        <item x="3"/>
        <item x="1"/>
        <item x="2"/>
        <item t="default"/>
      </items>
    </pivotField>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dragToRow="0" dragToCol="0" dragToPage="0" showAll="0" defaultSubtotal="0"/>
  </pivotFields>
  <rowFields count="2">
    <field x="12"/>
    <field x="11"/>
  </rowFields>
  <rowItems count="17">
    <i>
      <x/>
    </i>
    <i r="1">
      <x v="1"/>
    </i>
    <i r="1">
      <x v="2"/>
    </i>
    <i r="1">
      <x v="3"/>
    </i>
    <i>
      <x v="1"/>
    </i>
    <i r="1">
      <x v="4"/>
    </i>
    <i r="1">
      <x v="5"/>
    </i>
    <i r="1">
      <x v="6"/>
    </i>
    <i>
      <x v="2"/>
    </i>
    <i r="1">
      <x v="7"/>
    </i>
    <i r="1">
      <x v="8"/>
    </i>
    <i r="1">
      <x v="9"/>
    </i>
    <i>
      <x v="3"/>
    </i>
    <i r="1">
      <x v="10"/>
    </i>
    <i r="1">
      <x v="11"/>
    </i>
    <i r="1">
      <x v="12"/>
    </i>
    <i t="grand">
      <x/>
    </i>
  </rowItems>
  <colItems count="1">
    <i/>
  </colItems>
  <pageFields count="1">
    <pageField fld="2" item="2" hier="-1"/>
  </pageFields>
  <dataFields count="1">
    <dataField name="Sum of Total Sales" fld="10" showDataAs="runTotal"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D5AFDA-6D12-6C48-AB4A-21D028881BEA}" name="PivotTable6" cacheId="4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rowPageCount="1" colPageCount="1"/>
  <pivotFields count="14">
    <pivotField showAll="0"/>
    <pivotField numFmtId="14" showAll="0">
      <items count="165">
        <item x="112"/>
        <item x="20"/>
        <item x="144"/>
        <item x="106"/>
        <item x="113"/>
        <item x="98"/>
        <item x="46"/>
        <item x="162"/>
        <item x="43"/>
        <item x="107"/>
        <item x="109"/>
        <item x="160"/>
        <item x="85"/>
        <item x="163"/>
        <item x="28"/>
        <item x="58"/>
        <item x="21"/>
        <item x="97"/>
        <item x="5"/>
        <item x="79"/>
        <item x="125"/>
        <item x="61"/>
        <item x="99"/>
        <item x="75"/>
        <item x="83"/>
        <item x="52"/>
        <item x="80"/>
        <item x="54"/>
        <item x="78"/>
        <item x="41"/>
        <item x="156"/>
        <item x="145"/>
        <item x="13"/>
        <item x="33"/>
        <item x="161"/>
        <item x="57"/>
        <item x="132"/>
        <item x="38"/>
        <item x="72"/>
        <item x="108"/>
        <item x="91"/>
        <item x="45"/>
        <item x="48"/>
        <item x="154"/>
        <item x="24"/>
        <item x="56"/>
        <item x="102"/>
        <item x="121"/>
        <item x="136"/>
        <item x="25"/>
        <item x="146"/>
        <item x="89"/>
        <item x="73"/>
        <item x="148"/>
        <item x="104"/>
        <item x="44"/>
        <item x="77"/>
        <item x="0"/>
        <item x="133"/>
        <item x="120"/>
        <item x="122"/>
        <item x="15"/>
        <item x="90"/>
        <item x="103"/>
        <item x="69"/>
        <item x="66"/>
        <item x="31"/>
        <item x="127"/>
        <item x="62"/>
        <item x="84"/>
        <item x="152"/>
        <item x="159"/>
        <item x="70"/>
        <item x="50"/>
        <item x="153"/>
        <item x="105"/>
        <item x="115"/>
        <item x="140"/>
        <item x="42"/>
        <item x="67"/>
        <item x="32"/>
        <item x="71"/>
        <item x="30"/>
        <item x="114"/>
        <item x="23"/>
        <item x="134"/>
        <item x="53"/>
        <item x="6"/>
        <item x="155"/>
        <item x="117"/>
        <item x="9"/>
        <item x="143"/>
        <item x="123"/>
        <item x="157"/>
        <item x="36"/>
        <item x="7"/>
        <item x="119"/>
        <item x="88"/>
        <item x="116"/>
        <item x="111"/>
        <item x="59"/>
        <item x="95"/>
        <item x="126"/>
        <item x="128"/>
        <item x="10"/>
        <item x="74"/>
        <item x="40"/>
        <item x="142"/>
        <item x="131"/>
        <item x="86"/>
        <item x="2"/>
        <item x="135"/>
        <item x="137"/>
        <item x="110"/>
        <item x="35"/>
        <item x="130"/>
        <item x="49"/>
        <item x="27"/>
        <item x="81"/>
        <item x="76"/>
        <item x="39"/>
        <item x="37"/>
        <item x="12"/>
        <item x="147"/>
        <item x="47"/>
        <item x="3"/>
        <item x="17"/>
        <item x="124"/>
        <item x="151"/>
        <item x="11"/>
        <item x="65"/>
        <item x="19"/>
        <item x="93"/>
        <item x="82"/>
        <item x="96"/>
        <item x="1"/>
        <item x="158"/>
        <item x="29"/>
        <item x="138"/>
        <item x="92"/>
        <item x="63"/>
        <item x="139"/>
        <item x="22"/>
        <item x="149"/>
        <item x="26"/>
        <item x="100"/>
        <item x="8"/>
        <item x="87"/>
        <item x="34"/>
        <item x="14"/>
        <item x="64"/>
        <item x="101"/>
        <item x="60"/>
        <item x="16"/>
        <item x="150"/>
        <item x="68"/>
        <item x="94"/>
        <item x="18"/>
        <item x="4"/>
        <item x="141"/>
        <item x="51"/>
        <item x="129"/>
        <item x="55"/>
        <item x="118"/>
        <item t="default"/>
      </items>
    </pivotField>
    <pivotField axis="axisPage" showAll="0">
      <items count="5">
        <item x="0"/>
        <item x="3"/>
        <item x="1"/>
        <item x="2"/>
        <item t="default"/>
      </items>
    </pivotField>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dragToRow="0" dragToCol="0" dragToPage="0" showAll="0" defaultSubtotal="0"/>
  </pivotFields>
  <rowFields count="2">
    <field x="12"/>
    <field x="11"/>
  </rowFields>
  <rowItems count="17">
    <i>
      <x/>
    </i>
    <i r="1">
      <x v="1"/>
    </i>
    <i r="1">
      <x v="2"/>
    </i>
    <i r="1">
      <x v="3"/>
    </i>
    <i>
      <x v="1"/>
    </i>
    <i r="1">
      <x v="4"/>
    </i>
    <i r="1">
      <x v="5"/>
    </i>
    <i r="1">
      <x v="6"/>
    </i>
    <i>
      <x v="2"/>
    </i>
    <i r="1">
      <x v="7"/>
    </i>
    <i r="1">
      <x v="8"/>
    </i>
    <i r="1">
      <x v="9"/>
    </i>
    <i>
      <x v="3"/>
    </i>
    <i r="1">
      <x v="10"/>
    </i>
    <i r="1">
      <x v="11"/>
    </i>
    <i r="1">
      <x v="12"/>
    </i>
    <i t="grand">
      <x/>
    </i>
  </rowItems>
  <colItems count="1">
    <i/>
  </colItems>
  <pageFields count="1">
    <pageField fld="2" item="3" hier="-1"/>
  </pageFields>
  <dataFields count="1">
    <dataField name="Sum of Total Sales" fld="10" showDataAs="runTotal"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D5AFDA-6D12-6C48-AB4A-21D028881BEA}" name="PivotTable2" cacheId="418"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location ref="A3:C25" firstHeaderRow="2" firstDataRow="2" firstDataCol="2" rowPageCount="1" colPageCount="1"/>
  <pivotFields count="14">
    <pivotField compact="0" outline="0" showAll="0" insertBlankRow="1"/>
    <pivotField compact="0" numFmtId="14" outline="0" showAll="0" insertBlankRow="1">
      <items count="165">
        <item x="112"/>
        <item x="20"/>
        <item x="144"/>
        <item x="106"/>
        <item x="113"/>
        <item x="98"/>
        <item x="46"/>
        <item x="162"/>
        <item x="43"/>
        <item x="107"/>
        <item x="109"/>
        <item x="160"/>
        <item x="85"/>
        <item x="163"/>
        <item x="28"/>
        <item x="58"/>
        <item x="21"/>
        <item x="97"/>
        <item x="5"/>
        <item x="79"/>
        <item x="125"/>
        <item x="61"/>
        <item x="99"/>
        <item x="75"/>
        <item x="83"/>
        <item x="52"/>
        <item x="80"/>
        <item x="54"/>
        <item x="78"/>
        <item x="41"/>
        <item x="156"/>
        <item x="145"/>
        <item x="13"/>
        <item x="33"/>
        <item x="161"/>
        <item x="57"/>
        <item x="132"/>
        <item x="38"/>
        <item x="72"/>
        <item x="108"/>
        <item x="91"/>
        <item x="45"/>
        <item x="48"/>
        <item x="154"/>
        <item x="24"/>
        <item x="56"/>
        <item x="102"/>
        <item x="121"/>
        <item x="136"/>
        <item x="25"/>
        <item x="146"/>
        <item x="89"/>
        <item x="73"/>
        <item x="148"/>
        <item x="104"/>
        <item x="44"/>
        <item x="77"/>
        <item x="0"/>
        <item x="133"/>
        <item x="120"/>
        <item x="122"/>
        <item x="15"/>
        <item x="90"/>
        <item x="103"/>
        <item x="69"/>
        <item x="66"/>
        <item x="31"/>
        <item x="127"/>
        <item x="62"/>
        <item x="84"/>
        <item x="152"/>
        <item x="159"/>
        <item x="70"/>
        <item x="50"/>
        <item x="153"/>
        <item x="105"/>
        <item x="115"/>
        <item x="140"/>
        <item x="42"/>
        <item x="67"/>
        <item x="32"/>
        <item x="71"/>
        <item x="30"/>
        <item x="114"/>
        <item x="23"/>
        <item x="134"/>
        <item x="53"/>
        <item x="6"/>
        <item x="155"/>
        <item x="117"/>
        <item x="9"/>
        <item x="143"/>
        <item x="123"/>
        <item x="157"/>
        <item x="36"/>
        <item x="7"/>
        <item x="119"/>
        <item x="88"/>
        <item x="116"/>
        <item x="111"/>
        <item x="59"/>
        <item x="95"/>
        <item x="126"/>
        <item x="128"/>
        <item x="10"/>
        <item x="74"/>
        <item x="40"/>
        <item x="142"/>
        <item x="131"/>
        <item x="86"/>
        <item x="2"/>
        <item x="135"/>
        <item x="137"/>
        <item x="110"/>
        <item x="35"/>
        <item x="130"/>
        <item x="49"/>
        <item x="27"/>
        <item x="81"/>
        <item x="76"/>
        <item x="39"/>
        <item x="37"/>
        <item x="12"/>
        <item x="147"/>
        <item x="47"/>
        <item x="3"/>
        <item x="17"/>
        <item x="124"/>
        <item x="151"/>
        <item x="11"/>
        <item x="65"/>
        <item x="19"/>
        <item x="93"/>
        <item x="82"/>
        <item x="96"/>
        <item x="1"/>
        <item x="158"/>
        <item x="29"/>
        <item x="138"/>
        <item x="92"/>
        <item x="63"/>
        <item x="139"/>
        <item x="22"/>
        <item x="149"/>
        <item x="26"/>
        <item x="100"/>
        <item x="8"/>
        <item x="87"/>
        <item x="34"/>
        <item x="14"/>
        <item x="64"/>
        <item x="101"/>
        <item x="60"/>
        <item x="16"/>
        <item x="150"/>
        <item x="68"/>
        <item x="94"/>
        <item x="18"/>
        <item x="4"/>
        <item x="141"/>
        <item x="51"/>
        <item x="129"/>
        <item x="55"/>
        <item x="118"/>
        <item t="default"/>
      </items>
    </pivotField>
    <pivotField axis="axisPage" compact="0" outline="0" showAll="0" insertBlankRow="1">
      <items count="5">
        <item x="0"/>
        <item x="3"/>
        <item x="1"/>
        <item x="2"/>
        <item t="default"/>
      </items>
    </pivotField>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dataField="1" compact="0" outline="0" showAll="0" insertBlankRow="1"/>
    <pivotField axis="axisRow" compact="0" outline="0" showAll="0" insertBlankRow="1">
      <items count="15">
        <item x="0"/>
        <item x="1"/>
        <item x="2"/>
        <item x="3"/>
        <item x="4"/>
        <item x="5"/>
        <item x="6"/>
        <item x="7"/>
        <item x="8"/>
        <item x="9"/>
        <item x="10"/>
        <item x="11"/>
        <item x="12"/>
        <item x="13"/>
        <item t="default"/>
      </items>
    </pivotField>
    <pivotField axis="axisRow" compact="0" outline="0" showAll="0" insertBlankRow="1">
      <items count="7">
        <item x="1"/>
        <item x="2"/>
        <item x="3"/>
        <item x="4"/>
        <item x="0"/>
        <item x="5"/>
        <item t="default"/>
      </items>
    </pivotField>
    <pivotField compact="0" outline="0" dragToRow="0" dragToCol="0" dragToPage="0" showAll="0" insertBlankRow="1" defaultSubtotal="0"/>
  </pivotFields>
  <rowFields count="2">
    <field x="12"/>
    <field x="11"/>
  </rowFields>
  <rowItems count="21">
    <i>
      <x/>
      <x v="1"/>
    </i>
    <i r="1">
      <x v="2"/>
    </i>
    <i r="1">
      <x v="3"/>
    </i>
    <i t="default">
      <x/>
    </i>
    <i t="blank">
      <x/>
    </i>
    <i>
      <x v="1"/>
      <x v="4"/>
    </i>
    <i r="1">
      <x v="5"/>
    </i>
    <i r="1">
      <x v="6"/>
    </i>
    <i t="default">
      <x v="1"/>
    </i>
    <i t="blank">
      <x v="1"/>
    </i>
    <i>
      <x v="2"/>
      <x v="7"/>
    </i>
    <i r="1">
      <x v="8"/>
    </i>
    <i r="1">
      <x v="9"/>
    </i>
    <i t="default">
      <x v="2"/>
    </i>
    <i t="blank">
      <x v="2"/>
    </i>
    <i>
      <x v="3"/>
      <x v="10"/>
    </i>
    <i r="1">
      <x v="11"/>
    </i>
    <i r="1">
      <x v="12"/>
    </i>
    <i t="default">
      <x v="3"/>
    </i>
    <i t="blank">
      <x v="3"/>
    </i>
    <i t="grand">
      <x/>
    </i>
  </rowItems>
  <colItems count="1">
    <i/>
  </colItems>
  <pageFields count="1">
    <pageField fld="2" hier="-1"/>
  </pageFields>
  <dataFields count="1">
    <dataField name="Sum of Total Sales" fld="10" showDataAs="runTotal"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6F7D7C-7F2C-2947-A3CA-E247FDE765F1}" name="PivotTable3" cacheId="4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4">
    <pivotField dataField="1" showAll="0"/>
    <pivotField numFmtId="14" showAll="0">
      <items count="165">
        <item x="112"/>
        <item x="20"/>
        <item x="144"/>
        <item x="106"/>
        <item x="113"/>
        <item x="98"/>
        <item x="46"/>
        <item x="162"/>
        <item x="43"/>
        <item x="107"/>
        <item x="109"/>
        <item x="160"/>
        <item x="85"/>
        <item x="163"/>
        <item x="28"/>
        <item x="58"/>
        <item x="21"/>
        <item x="97"/>
        <item x="5"/>
        <item x="79"/>
        <item x="125"/>
        <item x="61"/>
        <item x="99"/>
        <item x="75"/>
        <item x="83"/>
        <item x="52"/>
        <item x="80"/>
        <item x="54"/>
        <item x="78"/>
        <item x="41"/>
        <item x="156"/>
        <item x="145"/>
        <item x="13"/>
        <item x="33"/>
        <item x="161"/>
        <item x="57"/>
        <item x="132"/>
        <item x="38"/>
        <item x="72"/>
        <item x="108"/>
        <item x="91"/>
        <item x="45"/>
        <item x="48"/>
        <item x="154"/>
        <item x="24"/>
        <item x="56"/>
        <item x="102"/>
        <item x="121"/>
        <item x="136"/>
        <item x="25"/>
        <item x="146"/>
        <item x="89"/>
        <item x="73"/>
        <item x="148"/>
        <item x="104"/>
        <item x="44"/>
        <item x="77"/>
        <item x="0"/>
        <item x="133"/>
        <item x="120"/>
        <item x="122"/>
        <item x="15"/>
        <item x="90"/>
        <item x="103"/>
        <item x="69"/>
        <item x="66"/>
        <item x="31"/>
        <item x="127"/>
        <item x="62"/>
        <item x="84"/>
        <item x="152"/>
        <item x="159"/>
        <item x="70"/>
        <item x="50"/>
        <item x="153"/>
        <item x="105"/>
        <item x="115"/>
        <item x="140"/>
        <item x="42"/>
        <item x="67"/>
        <item x="32"/>
        <item x="71"/>
        <item x="30"/>
        <item x="114"/>
        <item x="23"/>
        <item x="134"/>
        <item x="53"/>
        <item x="6"/>
        <item x="155"/>
        <item x="117"/>
        <item x="9"/>
        <item x="143"/>
        <item x="123"/>
        <item x="157"/>
        <item x="36"/>
        <item x="7"/>
        <item x="119"/>
        <item x="88"/>
        <item x="116"/>
        <item x="111"/>
        <item x="59"/>
        <item x="95"/>
        <item x="126"/>
        <item x="128"/>
        <item x="10"/>
        <item x="74"/>
        <item x="40"/>
        <item x="142"/>
        <item x="131"/>
        <item x="86"/>
        <item x="2"/>
        <item x="135"/>
        <item x="137"/>
        <item x="110"/>
        <item x="35"/>
        <item x="130"/>
        <item x="49"/>
        <item x="27"/>
        <item x="81"/>
        <item x="76"/>
        <item x="39"/>
        <item x="37"/>
        <item x="12"/>
        <item x="147"/>
        <item x="47"/>
        <item x="3"/>
        <item x="17"/>
        <item x="124"/>
        <item x="151"/>
        <item x="11"/>
        <item x="65"/>
        <item x="19"/>
        <item x="93"/>
        <item x="82"/>
        <item x="96"/>
        <item x="1"/>
        <item x="158"/>
        <item x="29"/>
        <item x="138"/>
        <item x="92"/>
        <item x="63"/>
        <item x="139"/>
        <item x="22"/>
        <item x="149"/>
        <item x="26"/>
        <item x="100"/>
        <item x="8"/>
        <item x="87"/>
        <item x="34"/>
        <item x="14"/>
        <item x="64"/>
        <item x="101"/>
        <item x="60"/>
        <item x="16"/>
        <item x="150"/>
        <item x="68"/>
        <item x="94"/>
        <item x="18"/>
        <item x="4"/>
        <item x="141"/>
        <item x="51"/>
        <item x="129"/>
        <item x="55"/>
        <item x="118"/>
        <item t="default"/>
      </items>
    </pivotField>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showAll="0" defaultSubtotal="0"/>
    <pivotField showAll="0" defaultSubtotal="0">
      <items count="6">
        <item x="1"/>
        <item x="2"/>
        <item x="3"/>
        <item x="4"/>
        <item x="0"/>
        <item x="5"/>
      </items>
    </pivotField>
    <pivotField dragToRow="0" dragToCol="0" dragToPage="0" showAll="0" defaultSubtotal="0"/>
  </pivotFields>
  <rowFields count="1">
    <field x="10"/>
  </rowFields>
  <rowItems count="6">
    <i>
      <x v="1"/>
    </i>
    <i>
      <x v="2"/>
    </i>
    <i>
      <x v="3"/>
    </i>
    <i>
      <x v="4"/>
    </i>
    <i>
      <x v="5"/>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152951-604A-5149-B561-CD57EDF339B7}" name="PivotTable4" cacheId="4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9" firstHeaderRow="1" firstDataRow="2" firstDataCol="1"/>
  <pivotFields count="14">
    <pivotField showAll="0"/>
    <pivotField numFmtId="14" showAll="0">
      <items count="165">
        <item x="112"/>
        <item x="20"/>
        <item x="144"/>
        <item x="106"/>
        <item x="113"/>
        <item x="98"/>
        <item x="46"/>
        <item x="162"/>
        <item x="43"/>
        <item x="107"/>
        <item x="109"/>
        <item x="160"/>
        <item x="85"/>
        <item x="163"/>
        <item x="28"/>
        <item x="58"/>
        <item x="21"/>
        <item x="97"/>
        <item x="5"/>
        <item x="79"/>
        <item x="125"/>
        <item x="61"/>
        <item x="99"/>
        <item x="75"/>
        <item x="83"/>
        <item x="52"/>
        <item x="80"/>
        <item x="54"/>
        <item x="78"/>
        <item x="41"/>
        <item x="156"/>
        <item x="145"/>
        <item x="13"/>
        <item x="33"/>
        <item x="161"/>
        <item x="57"/>
        <item x="132"/>
        <item x="38"/>
        <item x="72"/>
        <item x="108"/>
        <item x="91"/>
        <item x="45"/>
        <item x="48"/>
        <item x="154"/>
        <item x="24"/>
        <item x="56"/>
        <item x="102"/>
        <item x="121"/>
        <item x="136"/>
        <item x="25"/>
        <item x="146"/>
        <item x="89"/>
        <item x="73"/>
        <item x="148"/>
        <item x="104"/>
        <item x="44"/>
        <item x="77"/>
        <item x="0"/>
        <item x="133"/>
        <item x="120"/>
        <item x="122"/>
        <item x="15"/>
        <item x="90"/>
        <item x="103"/>
        <item x="69"/>
        <item x="66"/>
        <item x="31"/>
        <item x="127"/>
        <item x="62"/>
        <item x="84"/>
        <item x="152"/>
        <item x="159"/>
        <item x="70"/>
        <item x="50"/>
        <item x="153"/>
        <item x="105"/>
        <item x="115"/>
        <item x="140"/>
        <item x="42"/>
        <item x="67"/>
        <item x="32"/>
        <item x="71"/>
        <item x="30"/>
        <item x="114"/>
        <item x="23"/>
        <item x="134"/>
        <item x="53"/>
        <item x="6"/>
        <item x="155"/>
        <item x="117"/>
        <item x="9"/>
        <item x="143"/>
        <item x="123"/>
        <item x="157"/>
        <item x="36"/>
        <item x="7"/>
        <item x="119"/>
        <item x="88"/>
        <item x="116"/>
        <item x="111"/>
        <item x="59"/>
        <item x="95"/>
        <item x="126"/>
        <item x="128"/>
        <item x="10"/>
        <item x="74"/>
        <item x="40"/>
        <item x="142"/>
        <item x="131"/>
        <item x="86"/>
        <item x="2"/>
        <item x="135"/>
        <item x="137"/>
        <item x="110"/>
        <item x="35"/>
        <item x="130"/>
        <item x="49"/>
        <item x="27"/>
        <item x="81"/>
        <item x="76"/>
        <item x="39"/>
        <item x="37"/>
        <item x="12"/>
        <item x="147"/>
        <item x="47"/>
        <item x="3"/>
        <item x="17"/>
        <item x="124"/>
        <item x="151"/>
        <item x="11"/>
        <item x="65"/>
        <item x="19"/>
        <item x="93"/>
        <item x="82"/>
        <item x="96"/>
        <item x="1"/>
        <item x="158"/>
        <item x="29"/>
        <item x="138"/>
        <item x="92"/>
        <item x="63"/>
        <item x="139"/>
        <item x="22"/>
        <item x="149"/>
        <item x="26"/>
        <item x="100"/>
        <item x="8"/>
        <item x="87"/>
        <item x="34"/>
        <item x="14"/>
        <item x="64"/>
        <item x="101"/>
        <item x="60"/>
        <item x="16"/>
        <item x="150"/>
        <item x="68"/>
        <item x="94"/>
        <item x="18"/>
        <item x="4"/>
        <item x="141"/>
        <item x="51"/>
        <item x="129"/>
        <item x="55"/>
        <item x="118"/>
        <item t="default"/>
      </items>
    </pivotField>
    <pivotField axis="axisRow" showAll="0">
      <items count="5">
        <item x="0"/>
        <item x="3"/>
        <item x="1"/>
        <item x="2"/>
        <item t="default"/>
      </items>
    </pivotField>
    <pivotField showAll="0"/>
    <pivotField showAll="0"/>
    <pivotField showAll="0"/>
    <pivotField showAll="0"/>
    <pivotField axis="axisCol" showAll="0">
      <items count="3">
        <item x="1"/>
        <item x="0"/>
        <item t="default"/>
      </items>
    </pivotField>
    <pivotField showAll="0"/>
    <pivotField showAll="0"/>
    <pivotField dataField="1" showAll="0"/>
    <pivotField showAll="0" defaultSubtotal="0"/>
    <pivotField showAll="0" defaultSubtotal="0">
      <items count="6">
        <item x="1"/>
        <item x="2"/>
        <item x="3"/>
        <item x="4"/>
        <item x="0"/>
        <item x="5"/>
      </items>
    </pivotField>
    <pivotField dragToRow="0" dragToCol="0" dragToPage="0" showAll="0" defaultSubtotal="0"/>
  </pivotFields>
  <rowFields count="1">
    <field x="2"/>
  </rowFields>
  <rowItems count="5">
    <i>
      <x/>
    </i>
    <i>
      <x v="1"/>
    </i>
    <i>
      <x v="2"/>
    </i>
    <i>
      <x v="3"/>
    </i>
    <i t="grand">
      <x/>
    </i>
  </rowItems>
  <colFields count="1">
    <field x="7"/>
  </colFields>
  <colItems count="3">
    <i>
      <x/>
    </i>
    <i>
      <x v="1"/>
    </i>
    <i t="grand">
      <x/>
    </i>
  </colItems>
  <dataFields count="1">
    <dataField name="Sum of Total Sales" fld="10" showDataAs="percentOfCol" baseField="0" baseItem="0" numFmtId="10"/>
  </dataFields>
  <chartFormats count="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B95F70-5E3C-AE49-899B-8B64055FFEFD}" name="PivotTable5" cacheId="4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0" firstDataRow="1" firstDataCol="1"/>
  <pivotFields count="14">
    <pivotField showAll="0"/>
    <pivotField numFmtId="14" showAll="0">
      <items count="165">
        <item x="112"/>
        <item x="20"/>
        <item x="144"/>
        <item x="106"/>
        <item x="113"/>
        <item x="98"/>
        <item x="46"/>
        <item x="162"/>
        <item x="43"/>
        <item x="107"/>
        <item x="109"/>
        <item x="160"/>
        <item x="85"/>
        <item x="163"/>
        <item x="28"/>
        <item x="58"/>
        <item x="21"/>
        <item x="97"/>
        <item x="5"/>
        <item x="79"/>
        <item x="125"/>
        <item x="61"/>
        <item x="99"/>
        <item x="75"/>
        <item x="83"/>
        <item x="52"/>
        <item x="80"/>
        <item x="54"/>
        <item x="78"/>
        <item x="41"/>
        <item x="156"/>
        <item x="145"/>
        <item x="13"/>
        <item x="33"/>
        <item x="161"/>
        <item x="57"/>
        <item x="132"/>
        <item x="38"/>
        <item x="72"/>
        <item x="108"/>
        <item x="91"/>
        <item x="45"/>
        <item x="48"/>
        <item x="154"/>
        <item x="24"/>
        <item x="56"/>
        <item x="102"/>
        <item x="121"/>
        <item x="136"/>
        <item x="25"/>
        <item x="146"/>
        <item x="89"/>
        <item x="73"/>
        <item x="148"/>
        <item x="104"/>
        <item x="44"/>
        <item x="77"/>
        <item x="0"/>
        <item x="133"/>
        <item x="120"/>
        <item x="122"/>
        <item x="15"/>
        <item x="90"/>
        <item x="103"/>
        <item x="69"/>
        <item x="66"/>
        <item x="31"/>
        <item x="127"/>
        <item x="62"/>
        <item x="84"/>
        <item x="152"/>
        <item x="159"/>
        <item x="70"/>
        <item x="50"/>
        <item x="153"/>
        <item x="105"/>
        <item x="115"/>
        <item x="140"/>
        <item x="42"/>
        <item x="67"/>
        <item x="32"/>
        <item x="71"/>
        <item x="30"/>
        <item x="114"/>
        <item x="23"/>
        <item x="134"/>
        <item x="53"/>
        <item x="6"/>
        <item x="155"/>
        <item x="117"/>
        <item x="9"/>
        <item x="143"/>
        <item x="123"/>
        <item x="157"/>
        <item x="36"/>
        <item x="7"/>
        <item x="119"/>
        <item x="88"/>
        <item x="116"/>
        <item x="111"/>
        <item x="59"/>
        <item x="95"/>
        <item x="126"/>
        <item x="128"/>
        <item x="10"/>
        <item x="74"/>
        <item x="40"/>
        <item x="142"/>
        <item x="131"/>
        <item x="86"/>
        <item x="2"/>
        <item x="135"/>
        <item x="137"/>
        <item x="110"/>
        <item x="35"/>
        <item x="130"/>
        <item x="49"/>
        <item x="27"/>
        <item x="81"/>
        <item x="76"/>
        <item x="39"/>
        <item x="37"/>
        <item x="12"/>
        <item x="147"/>
        <item x="47"/>
        <item x="3"/>
        <item x="17"/>
        <item x="124"/>
        <item x="151"/>
        <item x="11"/>
        <item x="65"/>
        <item x="19"/>
        <item x="93"/>
        <item x="82"/>
        <item x="96"/>
        <item x="1"/>
        <item x="158"/>
        <item x="29"/>
        <item x="138"/>
        <item x="92"/>
        <item x="63"/>
        <item x="139"/>
        <item x="22"/>
        <item x="149"/>
        <item x="26"/>
        <item x="100"/>
        <item x="8"/>
        <item x="87"/>
        <item x="34"/>
        <item x="14"/>
        <item x="64"/>
        <item x="101"/>
        <item x="60"/>
        <item x="16"/>
        <item x="150"/>
        <item x="68"/>
        <item x="94"/>
        <item x="18"/>
        <item x="4"/>
        <item x="141"/>
        <item x="51"/>
        <item x="129"/>
        <item x="55"/>
        <item x="118"/>
        <item t="default"/>
      </items>
    </pivotField>
    <pivotField axis="axisRow" showAll="0">
      <items count="5">
        <item x="0"/>
        <item x="3"/>
        <item x="1"/>
        <item x="2"/>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6">
        <item x="1"/>
        <item x="2"/>
        <item x="3"/>
        <item x="4"/>
        <item x="0"/>
        <item x="5"/>
      </items>
    </pivotField>
    <pivotField dragToRow="0" dragToCol="0" dragToPage="0" showAll="0" defaultSubtotal="0"/>
  </pivotFields>
  <rowFields count="1">
    <field x="2"/>
  </rowFields>
  <rowItems count="5">
    <i>
      <x/>
    </i>
    <i>
      <x v="1"/>
    </i>
    <i>
      <x v="2"/>
    </i>
    <i>
      <x v="3"/>
    </i>
    <i t="grand">
      <x/>
    </i>
  </rowItems>
  <colFields count="1">
    <field x="-2"/>
  </colFields>
  <colItems count="4">
    <i>
      <x/>
    </i>
    <i i="1">
      <x v="1"/>
    </i>
    <i i="2">
      <x v="2"/>
    </i>
    <i i="3">
      <x v="3"/>
    </i>
  </colItems>
  <dataFields count="4">
    <dataField name="Count of Total Sales" fld="10" subtotal="count" baseField="0" baseItem="0"/>
    <dataField name="Average of Total Sales2" fld="10" subtotal="average" baseField="0" baseItem="0"/>
    <dataField name="Max. of Total Sales3" fld="10" subtotal="max" baseField="0" baseItem="0"/>
    <dataField name="Min. of Total Sales4" fld="10" subtotal="min" baseField="0" baseItem="0"/>
  </dataFields>
  <formats count="1">
    <format dxfId="0">
      <pivotArea collapsedLevelsAreSubtotals="1" fieldPosition="0">
        <references count="2">
          <reference field="4294967294" count="3" selected="0">
            <x v="1"/>
            <x v="2"/>
            <x v="3"/>
          </reference>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6D1CEDD-0EEB-F946-8126-B47D0DE1EC9C}" sourceName="Customer Type">
  <pivotTables>
    <pivotTable tabId="2" name="PivotTable1"/>
  </pivotTables>
  <data>
    <tabular pivotCacheId="1877612853">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1F6FC1-4EC3-1B41-8706-2A98346F3541}" sourceName="Region">
  <pivotTables>
    <pivotTable tabId="2" name="PivotTable1"/>
  </pivotTables>
  <data>
    <tabular pivotCacheId="1877612853">
      <items count="4">
        <i x="0"/>
        <i x="3"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48DF2F4-CFEF-5248-9FE4-D0375CD9CEC6}" sourceName="Months (Date)">
  <pivotTables>
    <pivotTable tabId="3" name="PivotTable2"/>
  </pivotTables>
  <data>
    <tabular pivotCacheId="1877612853">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A04019D7-67D6-0D47-9829-B7618ED37580}" sourceName="Quarters (Date)">
  <pivotTables>
    <pivotTable tabId="3" name="PivotTable2"/>
  </pivotTables>
  <data>
    <tabular pivotCacheId="1877612853">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5F0B691F-0207-CF4F-9403-3B9024F1BD44}" cache="Slicer_Customer_Type" caption="Customer Type" rowHeight="230716"/>
  <slicer name="Region" xr10:uid="{17092049-221B-5F4C-8BF9-ED31F3919778}" cache="Slicer_Region" caption="Regi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C44BE6E6-232E-2341-9B35-4332434B6194}" cache="Slicer_Months__Date" caption="Months (Date)" rowHeight="230716"/>
  <slicer name="Quarters (Date)" xr10:uid="{A85AD0AE-EEDA-B44B-B67B-2016D716287E}" cache="Slicer_Quarters__Date" caption="Quarters (Date)"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5FC38B3-C7CB-0849-94E5-53B7F8C7EBEA}" sourceName="Date">
  <pivotTables>
    <pivotTable tabId="3" name="PivotTable2"/>
  </pivotTables>
  <state minimalRefreshVersion="6" lastRefreshVersion="6" pivotCacheId="1877612853"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80E90C3-BBE5-1545-8EED-F5668202A7C5}" cache="NativeTimeline_Date" caption="Date" level="1" selectionLevel="3"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C03C5-4105-E145-AC88-A44224131F79}">
  <dimension ref="A1:I13"/>
  <sheetViews>
    <sheetView tabSelected="1" zoomScaleNormal="100" workbookViewId="0">
      <selection activeCell="D44" sqref="D44"/>
    </sheetView>
  </sheetViews>
  <sheetFormatPr defaultColWidth="11.42578125" defaultRowHeight="15"/>
  <cols>
    <col min="1" max="1" width="15.5703125" bestFit="1" customWidth="1"/>
    <col min="2" max="2" width="17.7109375" bestFit="1" customWidth="1"/>
    <col min="3" max="3" width="22.28515625" bestFit="1" customWidth="1"/>
    <col min="4" max="4" width="19.28515625" bestFit="1" customWidth="1"/>
    <col min="5" max="5" width="19" bestFit="1" customWidth="1"/>
    <col min="6" max="6" width="23.85546875" bestFit="1" customWidth="1"/>
    <col min="7" max="10" width="18.85546875" bestFit="1" customWidth="1"/>
    <col min="11" max="11" width="19" bestFit="1" customWidth="1"/>
    <col min="12" max="12" width="23.140625" bestFit="1" customWidth="1"/>
    <col min="13" max="13" width="20.42578125" bestFit="1" customWidth="1"/>
    <col min="14" max="14" width="20.28515625" bestFit="1" customWidth="1"/>
  </cols>
  <sheetData>
    <row r="1" spans="1:9">
      <c r="A1" s="2" t="s">
        <v>0</v>
      </c>
      <c r="B1" t="s">
        <v>1</v>
      </c>
    </row>
    <row r="2" spans="1:9">
      <c r="A2" s="2" t="s">
        <v>2</v>
      </c>
      <c r="B2" t="s">
        <v>3</v>
      </c>
    </row>
    <row r="4" spans="1:9">
      <c r="A4" s="2" t="s">
        <v>4</v>
      </c>
      <c r="B4" t="s">
        <v>5</v>
      </c>
      <c r="C4" t="s">
        <v>6</v>
      </c>
      <c r="D4" t="s">
        <v>7</v>
      </c>
      <c r="E4" t="s">
        <v>8</v>
      </c>
      <c r="F4" t="s">
        <v>9</v>
      </c>
    </row>
    <row r="5" spans="1:9">
      <c r="A5" s="3" t="s">
        <v>10</v>
      </c>
      <c r="B5" s="6">
        <v>28181.399999999998</v>
      </c>
      <c r="C5" s="6">
        <v>4696.8999999999996</v>
      </c>
      <c r="D5" s="6">
        <v>6703</v>
      </c>
      <c r="E5" s="6">
        <v>2342.56</v>
      </c>
      <c r="F5" s="8">
        <v>0</v>
      </c>
    </row>
    <row r="6" spans="1:9">
      <c r="A6" s="3" t="s">
        <v>11</v>
      </c>
      <c r="B6" s="6">
        <v>10465.590000000002</v>
      </c>
      <c r="C6" s="6">
        <v>1308.1987500000002</v>
      </c>
      <c r="D6" s="6">
        <v>2363.44</v>
      </c>
      <c r="E6" s="6">
        <v>208.85</v>
      </c>
      <c r="F6" s="8">
        <v>0</v>
      </c>
    </row>
    <row r="7" spans="1:9">
      <c r="A7" s="3" t="s">
        <v>12</v>
      </c>
      <c r="B7" s="6">
        <v>13186.17</v>
      </c>
      <c r="C7" s="6">
        <v>4395.3900000000003</v>
      </c>
      <c r="D7" s="6">
        <v>10754.17</v>
      </c>
      <c r="E7" s="6">
        <v>502.28</v>
      </c>
      <c r="F7" s="8">
        <v>0</v>
      </c>
    </row>
    <row r="8" spans="1:9">
      <c r="A8" s="3" t="s">
        <v>13</v>
      </c>
      <c r="B8" s="6">
        <v>8727.59</v>
      </c>
      <c r="C8" s="6">
        <v>4363.7950000000001</v>
      </c>
      <c r="D8" s="6">
        <v>6082.37</v>
      </c>
      <c r="E8" s="6">
        <v>2645.22</v>
      </c>
      <c r="F8" s="8">
        <v>0</v>
      </c>
    </row>
    <row r="9" spans="1:9">
      <c r="A9" s="3" t="s">
        <v>14</v>
      </c>
      <c r="B9" s="6">
        <v>82986.399999999994</v>
      </c>
      <c r="C9" s="6">
        <v>9220.7111111111099</v>
      </c>
      <c r="D9" s="6">
        <v>19230.2</v>
      </c>
      <c r="E9" s="6">
        <v>4387.92</v>
      </c>
      <c r="F9" s="8">
        <v>0</v>
      </c>
    </row>
    <row r="10" spans="1:9">
      <c r="A10" s="3" t="s">
        <v>15</v>
      </c>
      <c r="B10" s="6">
        <v>4858.869999999999</v>
      </c>
      <c r="C10" s="6">
        <v>971.77399999999977</v>
      </c>
      <c r="D10" s="6">
        <v>1378.44</v>
      </c>
      <c r="E10" s="6">
        <v>525.66</v>
      </c>
      <c r="F10" s="8">
        <v>0</v>
      </c>
    </row>
    <row r="11" spans="1:9">
      <c r="A11" s="3" t="s">
        <v>16</v>
      </c>
      <c r="B11" s="6">
        <v>148406.02000000002</v>
      </c>
      <c r="C11" s="6">
        <v>4497.1521212121215</v>
      </c>
      <c r="D11" s="6">
        <v>19230.2</v>
      </c>
      <c r="E11" s="6">
        <v>208.85</v>
      </c>
      <c r="F11" s="8">
        <v>0</v>
      </c>
    </row>
    <row r="13" spans="1:9">
      <c r="B13" s="7" t="s">
        <v>17</v>
      </c>
      <c r="C13" s="7"/>
      <c r="D13" s="7"/>
      <c r="E13" s="7"/>
      <c r="F13" s="7"/>
      <c r="G13" s="7"/>
      <c r="H13" s="7"/>
      <c r="I13" s="7"/>
    </row>
  </sheetData>
  <mergeCells count="1">
    <mergeCell ref="B13:I1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E6D0F-9080-824C-B683-DF8F03E2BA25}">
  <dimension ref="A1:L10"/>
  <sheetViews>
    <sheetView workbookViewId="0">
      <selection activeCell="C18" sqref="C18"/>
    </sheetView>
  </sheetViews>
  <sheetFormatPr defaultColWidth="11.42578125" defaultRowHeight="15"/>
  <cols>
    <col min="1" max="1" width="19" bestFit="1" customWidth="1"/>
  </cols>
  <sheetData>
    <row r="1" spans="1:12">
      <c r="A1" s="7" t="s">
        <v>17</v>
      </c>
      <c r="B1" s="7"/>
      <c r="C1" s="7"/>
      <c r="D1" s="7"/>
      <c r="E1" s="7"/>
      <c r="F1" s="7"/>
      <c r="G1" s="7"/>
      <c r="H1" s="7"/>
      <c r="I1" s="7"/>
      <c r="J1" s="7"/>
      <c r="K1" s="7"/>
      <c r="L1" s="7"/>
    </row>
    <row r="2" spans="1:12">
      <c r="A2" s="7" t="s">
        <v>18</v>
      </c>
      <c r="B2" s="7"/>
      <c r="C2" s="7"/>
      <c r="D2" s="7"/>
      <c r="E2" s="7"/>
    </row>
    <row r="3" spans="1:12">
      <c r="A3" t="s">
        <v>19</v>
      </c>
    </row>
    <row r="5" spans="1:12">
      <c r="A5" t="s">
        <v>20</v>
      </c>
    </row>
    <row r="7" spans="1:12">
      <c r="A7" t="s">
        <v>21</v>
      </c>
    </row>
    <row r="8" spans="1:12">
      <c r="A8" t="s">
        <v>22</v>
      </c>
    </row>
    <row r="10" spans="1:12">
      <c r="A10" t="s">
        <v>23</v>
      </c>
    </row>
  </sheetData>
  <mergeCells count="2">
    <mergeCell ref="A1:L1"/>
    <mergeCell ref="A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1C50A-B092-8341-B332-6FDB8DF3C40B}">
  <dimension ref="A1:B20"/>
  <sheetViews>
    <sheetView workbookViewId="0">
      <selection activeCell="M16" sqref="M16"/>
    </sheetView>
  </sheetViews>
  <sheetFormatPr defaultColWidth="11.42578125" defaultRowHeight="15"/>
  <cols>
    <col min="1" max="1" width="14.28515625" bestFit="1" customWidth="1"/>
    <col min="2" max="2" width="17.7109375" bestFit="1" customWidth="1"/>
  </cols>
  <sheetData>
    <row r="1" spans="1:2">
      <c r="A1" s="2" t="s">
        <v>2</v>
      </c>
      <c r="B1" t="s">
        <v>24</v>
      </c>
    </row>
    <row r="3" spans="1:2">
      <c r="A3" s="2" t="s">
        <v>4</v>
      </c>
      <c r="B3" t="s">
        <v>5</v>
      </c>
    </row>
    <row r="4" spans="1:2">
      <c r="A4" s="3" t="s">
        <v>25</v>
      </c>
      <c r="B4" s="8">
        <v>48912.569999999992</v>
      </c>
    </row>
    <row r="5" spans="1:2">
      <c r="A5" s="4" t="s">
        <v>26</v>
      </c>
      <c r="B5" s="8">
        <v>4374.49</v>
      </c>
    </row>
    <row r="6" spans="1:2">
      <c r="A6" s="4" t="s">
        <v>27</v>
      </c>
      <c r="B6" s="8">
        <v>23680.07</v>
      </c>
    </row>
    <row r="7" spans="1:2">
      <c r="A7" s="4" t="s">
        <v>28</v>
      </c>
      <c r="B7" s="8">
        <v>20858.009999999998</v>
      </c>
    </row>
    <row r="8" spans="1:2">
      <c r="A8" s="3" t="s">
        <v>29</v>
      </c>
      <c r="B8" s="8">
        <v>77800.87</v>
      </c>
    </row>
    <row r="9" spans="1:2">
      <c r="A9" s="4" t="s">
        <v>30</v>
      </c>
      <c r="B9" s="8">
        <v>4020.1099999999997</v>
      </c>
    </row>
    <row r="10" spans="1:2">
      <c r="A10" s="4" t="s">
        <v>31</v>
      </c>
      <c r="B10" s="8">
        <v>11968.490000000002</v>
      </c>
    </row>
    <row r="11" spans="1:2">
      <c r="A11" s="4" t="s">
        <v>32</v>
      </c>
      <c r="B11" s="8">
        <v>12899.699999999999</v>
      </c>
    </row>
    <row r="12" spans="1:2">
      <c r="A12" s="3" t="s">
        <v>33</v>
      </c>
      <c r="B12" s="8">
        <v>145699.06</v>
      </c>
    </row>
    <row r="13" spans="1:2">
      <c r="A13" s="4" t="s">
        <v>34</v>
      </c>
      <c r="B13" s="8">
        <v>25579.090000000004</v>
      </c>
    </row>
    <row r="14" spans="1:2">
      <c r="A14" s="4" t="s">
        <v>35</v>
      </c>
      <c r="B14" s="8">
        <v>22693.179999999997</v>
      </c>
    </row>
    <row r="15" spans="1:2">
      <c r="A15" s="4" t="s">
        <v>36</v>
      </c>
      <c r="B15" s="8">
        <v>19625.920000000002</v>
      </c>
    </row>
    <row r="16" spans="1:2">
      <c r="A16" s="3" t="s">
        <v>37</v>
      </c>
      <c r="B16" s="8">
        <v>224433.36</v>
      </c>
    </row>
    <row r="17" spans="1:2">
      <c r="A17" s="4" t="s">
        <v>38</v>
      </c>
      <c r="B17" s="8">
        <v>23569.16</v>
      </c>
    </row>
    <row r="18" spans="1:2">
      <c r="A18" s="4" t="s">
        <v>39</v>
      </c>
      <c r="B18" s="8">
        <v>17041.260000000002</v>
      </c>
    </row>
    <row r="19" spans="1:2">
      <c r="A19" s="4" t="s">
        <v>40</v>
      </c>
      <c r="B19" s="8">
        <v>38123.879999999997</v>
      </c>
    </row>
    <row r="20" spans="1:2">
      <c r="A20" s="3" t="s">
        <v>16</v>
      </c>
      <c r="B20"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2A6F0-E56A-BA4B-B38B-4662A3A149E7}">
  <dimension ref="A1:B20"/>
  <sheetViews>
    <sheetView workbookViewId="0"/>
  </sheetViews>
  <sheetFormatPr defaultColWidth="11.42578125" defaultRowHeight="15"/>
  <cols>
    <col min="1" max="1" width="14.28515625" bestFit="1" customWidth="1"/>
    <col min="2" max="2" width="17.7109375" bestFit="1" customWidth="1"/>
  </cols>
  <sheetData>
    <row r="1" spans="1:2">
      <c r="A1" s="2" t="s">
        <v>2</v>
      </c>
      <c r="B1" t="s">
        <v>3</v>
      </c>
    </row>
    <row r="3" spans="1:2">
      <c r="A3" s="2" t="s">
        <v>4</v>
      </c>
      <c r="B3" t="s">
        <v>5</v>
      </c>
    </row>
    <row r="4" spans="1:2">
      <c r="A4" s="3" t="s">
        <v>25</v>
      </c>
      <c r="B4" s="8">
        <v>76175.98000000001</v>
      </c>
    </row>
    <row r="5" spans="1:2">
      <c r="A5" s="4" t="s">
        <v>26</v>
      </c>
      <c r="B5" s="8">
        <v>47209.320000000007</v>
      </c>
    </row>
    <row r="6" spans="1:2">
      <c r="A6" s="4" t="s">
        <v>27</v>
      </c>
      <c r="B6" s="8">
        <v>12139.51</v>
      </c>
    </row>
    <row r="7" spans="1:2">
      <c r="A7" s="4" t="s">
        <v>28</v>
      </c>
      <c r="B7" s="8">
        <v>16827.150000000001</v>
      </c>
    </row>
    <row r="8" spans="1:2">
      <c r="A8" s="3" t="s">
        <v>29</v>
      </c>
      <c r="B8" s="8">
        <v>103943.58000000002</v>
      </c>
    </row>
    <row r="9" spans="1:2">
      <c r="A9" s="4" t="s">
        <v>30</v>
      </c>
      <c r="B9" s="8">
        <v>8643.7800000000007</v>
      </c>
    </row>
    <row r="10" spans="1:2">
      <c r="A10" s="4" t="s">
        <v>31</v>
      </c>
      <c r="B10" s="8">
        <v>3664.59</v>
      </c>
    </row>
    <row r="11" spans="1:2">
      <c r="A11" s="4" t="s">
        <v>32</v>
      </c>
      <c r="B11" s="8">
        <v>15459.230000000001</v>
      </c>
    </row>
    <row r="12" spans="1:2">
      <c r="A12" s="3" t="s">
        <v>33</v>
      </c>
      <c r="B12" s="8">
        <v>169210.11000000002</v>
      </c>
    </row>
    <row r="13" spans="1:2">
      <c r="A13" s="4" t="s">
        <v>34</v>
      </c>
      <c r="B13" s="8">
        <v>12911.69</v>
      </c>
    </row>
    <row r="14" spans="1:2">
      <c r="A14" s="4" t="s">
        <v>35</v>
      </c>
      <c r="B14" s="8">
        <v>43486.96</v>
      </c>
    </row>
    <row r="15" spans="1:2">
      <c r="A15" s="4" t="s">
        <v>36</v>
      </c>
      <c r="B15" s="8">
        <v>8867.8799999999992</v>
      </c>
    </row>
    <row r="16" spans="1:2">
      <c r="A16" s="3" t="s">
        <v>37</v>
      </c>
      <c r="B16" s="8">
        <v>282599.35000000003</v>
      </c>
    </row>
    <row r="17" spans="1:2">
      <c r="A17" s="4" t="s">
        <v>38</v>
      </c>
      <c r="B17" s="8">
        <v>37567.68</v>
      </c>
    </row>
    <row r="18" spans="1:2">
      <c r="A18" s="4" t="s">
        <v>39</v>
      </c>
      <c r="B18" s="8">
        <v>37967.800000000003</v>
      </c>
    </row>
    <row r="19" spans="1:2">
      <c r="A19" s="4" t="s">
        <v>40</v>
      </c>
      <c r="B19" s="8">
        <v>37853.760000000002</v>
      </c>
    </row>
    <row r="20" spans="1:2">
      <c r="A20" s="3" t="s">
        <v>16</v>
      </c>
      <c r="B20"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E760B-E9C9-804B-8F6E-F8F05F74DF86}">
  <dimension ref="A1:B20"/>
  <sheetViews>
    <sheetView workbookViewId="0"/>
  </sheetViews>
  <sheetFormatPr defaultColWidth="11.42578125" defaultRowHeight="15"/>
  <cols>
    <col min="1" max="1" width="14.28515625" bestFit="1" customWidth="1"/>
    <col min="2" max="2" width="17.7109375" bestFit="1" customWidth="1"/>
  </cols>
  <sheetData>
    <row r="1" spans="1:2">
      <c r="A1" s="2" t="s">
        <v>2</v>
      </c>
      <c r="B1" t="s">
        <v>41</v>
      </c>
    </row>
    <row r="3" spans="1:2">
      <c r="A3" s="2" t="s">
        <v>4</v>
      </c>
      <c r="B3" t="s">
        <v>5</v>
      </c>
    </row>
    <row r="4" spans="1:2">
      <c r="A4" s="3" t="s">
        <v>25</v>
      </c>
      <c r="B4" s="8">
        <v>33466.870000000003</v>
      </c>
    </row>
    <row r="5" spans="1:2">
      <c r="A5" s="4" t="s">
        <v>26</v>
      </c>
      <c r="B5" s="8">
        <v>14737.650000000001</v>
      </c>
    </row>
    <row r="6" spans="1:2">
      <c r="A6" s="4" t="s">
        <v>27</v>
      </c>
      <c r="B6" s="8">
        <v>8196.630000000001</v>
      </c>
    </row>
    <row r="7" spans="1:2">
      <c r="A7" s="4" t="s">
        <v>28</v>
      </c>
      <c r="B7" s="8">
        <v>10532.59</v>
      </c>
    </row>
    <row r="8" spans="1:2">
      <c r="A8" s="3" t="s">
        <v>29</v>
      </c>
      <c r="B8" s="8">
        <v>88549.68</v>
      </c>
    </row>
    <row r="9" spans="1:2">
      <c r="A9" s="4" t="s">
        <v>30</v>
      </c>
      <c r="B9" s="8">
        <v>33284.83</v>
      </c>
    </row>
    <row r="10" spans="1:2">
      <c r="A10" s="4" t="s">
        <v>31</v>
      </c>
      <c r="B10" s="8">
        <v>5103.29</v>
      </c>
    </row>
    <row r="11" spans="1:2">
      <c r="A11" s="4" t="s">
        <v>32</v>
      </c>
      <c r="B11" s="8">
        <v>16694.689999999999</v>
      </c>
    </row>
    <row r="12" spans="1:2">
      <c r="A12" s="3" t="s">
        <v>33</v>
      </c>
      <c r="B12" s="8">
        <v>145081.51999999999</v>
      </c>
    </row>
    <row r="13" spans="1:2">
      <c r="A13" s="4" t="s">
        <v>34</v>
      </c>
      <c r="B13" s="8">
        <v>4846.33</v>
      </c>
    </row>
    <row r="14" spans="1:2">
      <c r="A14" s="4" t="s">
        <v>35</v>
      </c>
      <c r="B14" s="8">
        <v>29534.37</v>
      </c>
    </row>
    <row r="15" spans="1:2">
      <c r="A15" s="4" t="s">
        <v>36</v>
      </c>
      <c r="B15" s="8">
        <v>22151.14</v>
      </c>
    </row>
    <row r="16" spans="1:2">
      <c r="A16" s="3" t="s">
        <v>37</v>
      </c>
      <c r="B16" s="8">
        <v>210254.53999999998</v>
      </c>
    </row>
    <row r="17" spans="1:2">
      <c r="A17" s="4" t="s">
        <v>38</v>
      </c>
      <c r="B17" s="8">
        <v>11295.7</v>
      </c>
    </row>
    <row r="18" spans="1:2">
      <c r="A18" s="4" t="s">
        <v>39</v>
      </c>
      <c r="B18" s="8">
        <v>24103.209999999995</v>
      </c>
    </row>
    <row r="19" spans="1:2">
      <c r="A19" s="4" t="s">
        <v>40</v>
      </c>
      <c r="B19" s="8">
        <v>29774.11</v>
      </c>
    </row>
    <row r="20" spans="1:2">
      <c r="A20" s="3" t="s">
        <v>16</v>
      </c>
      <c r="B20"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E7D00-6BE3-DF4B-A3FE-6A12E5041597}">
  <dimension ref="A1:B20"/>
  <sheetViews>
    <sheetView workbookViewId="0"/>
  </sheetViews>
  <sheetFormatPr defaultColWidth="11.42578125" defaultRowHeight="15"/>
  <cols>
    <col min="1" max="1" width="14.28515625" bestFit="1" customWidth="1"/>
    <col min="2" max="2" width="17.7109375" bestFit="1" customWidth="1"/>
  </cols>
  <sheetData>
    <row r="1" spans="1:2">
      <c r="A1" s="2" t="s">
        <v>2</v>
      </c>
      <c r="B1" t="s">
        <v>42</v>
      </c>
    </row>
    <row r="3" spans="1:2">
      <c r="A3" s="2" t="s">
        <v>4</v>
      </c>
      <c r="B3" t="s">
        <v>5</v>
      </c>
    </row>
    <row r="4" spans="1:2">
      <c r="A4" s="3" t="s">
        <v>25</v>
      </c>
      <c r="B4" s="8">
        <v>39248.51</v>
      </c>
    </row>
    <row r="5" spans="1:2">
      <c r="A5" s="4" t="s">
        <v>26</v>
      </c>
      <c r="B5" s="8">
        <v>9844.0300000000007</v>
      </c>
    </row>
    <row r="6" spans="1:2">
      <c r="A6" s="4" t="s">
        <v>27</v>
      </c>
      <c r="B6" s="8">
        <v>28464.82</v>
      </c>
    </row>
    <row r="7" spans="1:2">
      <c r="A7" s="4" t="s">
        <v>28</v>
      </c>
      <c r="B7" s="8">
        <v>939.66</v>
      </c>
    </row>
    <row r="8" spans="1:2">
      <c r="A8" s="3" t="s">
        <v>29</v>
      </c>
      <c r="B8" s="8">
        <v>72348.05</v>
      </c>
    </row>
    <row r="9" spans="1:2">
      <c r="A9" s="4" t="s">
        <v>30</v>
      </c>
      <c r="B9" s="8">
        <v>5477.5999999999995</v>
      </c>
    </row>
    <row r="10" spans="1:2">
      <c r="A10" s="4" t="s">
        <v>31</v>
      </c>
      <c r="B10" s="8">
        <v>25194.870000000003</v>
      </c>
    </row>
    <row r="11" spans="1:2">
      <c r="A11" s="4" t="s">
        <v>32</v>
      </c>
      <c r="B11" s="8">
        <v>2427.0700000000002</v>
      </c>
    </row>
    <row r="12" spans="1:2">
      <c r="A12" s="3" t="s">
        <v>33</v>
      </c>
      <c r="B12" s="8">
        <v>91421.8</v>
      </c>
    </row>
    <row r="13" spans="1:2">
      <c r="A13" s="4" t="s">
        <v>34</v>
      </c>
      <c r="B13" s="8">
        <v>7112.75</v>
      </c>
    </row>
    <row r="14" spans="1:2">
      <c r="A14" s="4" t="s">
        <v>35</v>
      </c>
      <c r="B14" s="8">
        <v>6187.58</v>
      </c>
    </row>
    <row r="15" spans="1:2">
      <c r="A15" s="4" t="s">
        <v>36</v>
      </c>
      <c r="B15" s="8">
        <v>5773.420000000001</v>
      </c>
    </row>
    <row r="16" spans="1:2">
      <c r="A16" s="3" t="s">
        <v>37</v>
      </c>
      <c r="B16" s="8">
        <v>166281.70000000001</v>
      </c>
    </row>
    <row r="17" spans="1:2">
      <c r="A17" s="4" t="s">
        <v>38</v>
      </c>
      <c r="B17" s="8">
        <v>32713.38</v>
      </c>
    </row>
    <row r="18" spans="1:2">
      <c r="A18" s="4" t="s">
        <v>39</v>
      </c>
      <c r="B18" s="8">
        <v>3296.15</v>
      </c>
    </row>
    <row r="19" spans="1:2">
      <c r="A19" s="4" t="s">
        <v>40</v>
      </c>
      <c r="B19" s="8">
        <v>38850.370000000003</v>
      </c>
    </row>
    <row r="20" spans="1:2">
      <c r="A20" s="3" t="s">
        <v>16</v>
      </c>
      <c r="B20"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15FE9-EB50-EC42-8D41-09B02DF35DAB}">
  <dimension ref="A1:C25"/>
  <sheetViews>
    <sheetView workbookViewId="0">
      <selection activeCell="C10" sqref="C10"/>
    </sheetView>
  </sheetViews>
  <sheetFormatPr defaultColWidth="11.42578125" defaultRowHeight="15"/>
  <cols>
    <col min="1" max="1" width="12.140625" bestFit="1" customWidth="1"/>
    <col min="2" max="2" width="17.42578125" bestFit="1" customWidth="1"/>
    <col min="3" max="3" width="10.42578125" bestFit="1" customWidth="1"/>
  </cols>
  <sheetData>
    <row r="1" spans="1:3">
      <c r="A1" s="2" t="s">
        <v>2</v>
      </c>
      <c r="B1" t="s">
        <v>43</v>
      </c>
    </row>
    <row r="3" spans="1:3">
      <c r="A3" s="2" t="s">
        <v>5</v>
      </c>
    </row>
    <row r="4" spans="1:3">
      <c r="A4" s="2" t="s">
        <v>44</v>
      </c>
      <c r="B4" s="2" t="s">
        <v>45</v>
      </c>
      <c r="C4" t="s">
        <v>46</v>
      </c>
    </row>
    <row r="5" spans="1:3">
      <c r="A5" t="s">
        <v>25</v>
      </c>
      <c r="B5" t="s">
        <v>26</v>
      </c>
      <c r="C5" s="8">
        <v>76165.490000000005</v>
      </c>
    </row>
    <row r="6" spans="1:3">
      <c r="B6" t="s">
        <v>27</v>
      </c>
      <c r="C6" s="8">
        <v>72481.029999999984</v>
      </c>
    </row>
    <row r="7" spans="1:3">
      <c r="B7" t="s">
        <v>28</v>
      </c>
      <c r="C7" s="8">
        <v>49157.41</v>
      </c>
    </row>
    <row r="8" spans="1:3">
      <c r="A8" t="s">
        <v>47</v>
      </c>
      <c r="C8" s="8">
        <v>197803.93</v>
      </c>
    </row>
    <row r="9" spans="1:3">
      <c r="C9" s="8"/>
    </row>
    <row r="10" spans="1:3">
      <c r="A10" t="s">
        <v>29</v>
      </c>
      <c r="B10" t="s">
        <v>30</v>
      </c>
      <c r="C10" s="8">
        <v>51426.32</v>
      </c>
    </row>
    <row r="11" spans="1:3">
      <c r="B11" t="s">
        <v>31</v>
      </c>
      <c r="C11" s="8">
        <v>45931.24</v>
      </c>
    </row>
    <row r="12" spans="1:3">
      <c r="B12" t="s">
        <v>32</v>
      </c>
      <c r="C12" s="8">
        <v>47480.69</v>
      </c>
    </row>
    <row r="13" spans="1:3">
      <c r="A13" t="s">
        <v>48</v>
      </c>
      <c r="C13" s="8">
        <v>342642.18</v>
      </c>
    </row>
    <row r="14" spans="1:3">
      <c r="C14" s="8"/>
    </row>
    <row r="15" spans="1:3">
      <c r="A15" t="s">
        <v>33</v>
      </c>
      <c r="B15" t="s">
        <v>34</v>
      </c>
      <c r="C15" s="8">
        <v>50449.86</v>
      </c>
    </row>
    <row r="16" spans="1:3">
      <c r="B16" t="s">
        <v>35</v>
      </c>
      <c r="C16" s="8">
        <v>101902.09000000003</v>
      </c>
    </row>
    <row r="17" spans="1:3">
      <c r="B17" t="s">
        <v>36</v>
      </c>
      <c r="C17" s="8">
        <v>56418.36</v>
      </c>
    </row>
    <row r="18" spans="1:3">
      <c r="A18" t="s">
        <v>49</v>
      </c>
      <c r="C18" s="8">
        <v>551412.49</v>
      </c>
    </row>
    <row r="19" spans="1:3">
      <c r="C19" s="8"/>
    </row>
    <row r="20" spans="1:3">
      <c r="A20" t="s">
        <v>37</v>
      </c>
      <c r="B20" t="s">
        <v>38</v>
      </c>
      <c r="C20" s="8">
        <v>105145.92</v>
      </c>
    </row>
    <row r="21" spans="1:3">
      <c r="B21" t="s">
        <v>39</v>
      </c>
      <c r="C21" s="8">
        <v>82408.42</v>
      </c>
    </row>
    <row r="22" spans="1:3">
      <c r="B22" t="s">
        <v>40</v>
      </c>
      <c r="C22" s="8">
        <v>144602.12</v>
      </c>
    </row>
    <row r="23" spans="1:3">
      <c r="A23" t="s">
        <v>50</v>
      </c>
      <c r="C23" s="8">
        <v>883568.95</v>
      </c>
    </row>
    <row r="24" spans="1:3">
      <c r="C24" s="8"/>
    </row>
    <row r="25" spans="1:3">
      <c r="A25" t="s">
        <v>16</v>
      </c>
      <c r="C25" s="8"/>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CE41D-0F02-9A4F-B7A5-4FDD79B5FB45}">
  <dimension ref="A3:B9"/>
  <sheetViews>
    <sheetView workbookViewId="0">
      <selection activeCell="A4" sqref="A4"/>
    </sheetView>
  </sheetViews>
  <sheetFormatPr defaultColWidth="11.42578125" defaultRowHeight="15"/>
  <cols>
    <col min="1" max="1" width="14.28515625" bestFit="1" customWidth="1"/>
    <col min="2" max="2" width="17" bestFit="1" customWidth="1"/>
  </cols>
  <sheetData>
    <row r="3" spans="1:2">
      <c r="A3" s="2" t="s">
        <v>4</v>
      </c>
      <c r="B3" t="s">
        <v>51</v>
      </c>
    </row>
    <row r="4" spans="1:2">
      <c r="A4" s="3" t="s">
        <v>52</v>
      </c>
      <c r="B4" s="8">
        <v>152</v>
      </c>
    </row>
    <row r="5" spans="1:2">
      <c r="A5" s="3" t="s">
        <v>53</v>
      </c>
      <c r="B5" s="8">
        <v>46</v>
      </c>
    </row>
    <row r="6" spans="1:2">
      <c r="A6" s="3" t="s">
        <v>54</v>
      </c>
      <c r="B6" s="8">
        <v>16</v>
      </c>
    </row>
    <row r="7" spans="1:2">
      <c r="A7" s="3" t="s">
        <v>55</v>
      </c>
      <c r="B7" s="8">
        <v>5</v>
      </c>
    </row>
    <row r="8" spans="1:2">
      <c r="A8" s="3" t="s">
        <v>56</v>
      </c>
      <c r="B8" s="8">
        <v>1</v>
      </c>
    </row>
    <row r="9" spans="1:2">
      <c r="A9" s="3" t="s">
        <v>16</v>
      </c>
      <c r="B9" s="8">
        <v>220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00862-890C-9140-AFB4-A6707DBCA912}">
  <dimension ref="A3:D33"/>
  <sheetViews>
    <sheetView workbookViewId="0">
      <selection activeCell="D6" sqref="D6"/>
    </sheetView>
  </sheetViews>
  <sheetFormatPr defaultColWidth="11.42578125" defaultRowHeight="15"/>
  <cols>
    <col min="1" max="1" width="17.7109375" bestFit="1" customWidth="1"/>
    <col min="2" max="2" width="17.28515625" bestFit="1" customWidth="1"/>
    <col min="3" max="3" width="9.85546875" bestFit="1" customWidth="1"/>
    <col min="4" max="4" width="11.7109375" bestFit="1" customWidth="1"/>
  </cols>
  <sheetData>
    <row r="3" spans="1:4">
      <c r="A3" s="2" t="s">
        <v>5</v>
      </c>
      <c r="B3" s="2" t="s">
        <v>57</v>
      </c>
    </row>
    <row r="4" spans="1:4">
      <c r="A4" s="2" t="s">
        <v>4</v>
      </c>
      <c r="B4" t="s">
        <v>1</v>
      </c>
      <c r="C4" t="s">
        <v>58</v>
      </c>
      <c r="D4" t="s">
        <v>16</v>
      </c>
    </row>
    <row r="5" spans="1:4">
      <c r="A5" s="3" t="s">
        <v>24</v>
      </c>
      <c r="B5" s="5">
        <v>0.25711151199057719</v>
      </c>
      <c r="C5" s="5">
        <v>0.25048234721360729</v>
      </c>
      <c r="D5" s="5">
        <v>0.25400774891421884</v>
      </c>
    </row>
    <row r="6" spans="1:4">
      <c r="A6" s="3" t="s">
        <v>3</v>
      </c>
      <c r="B6" s="5">
        <v>0.31583574270688991</v>
      </c>
      <c r="C6" s="5">
        <v>0.32438497950374851</v>
      </c>
      <c r="D6" s="5">
        <v>0.31983848006428933</v>
      </c>
    </row>
    <row r="7" spans="1:4">
      <c r="A7" s="3" t="s">
        <v>41</v>
      </c>
      <c r="B7" s="5">
        <v>0.26790842113966318</v>
      </c>
      <c r="C7" s="5">
        <v>0.20394430163597746</v>
      </c>
      <c r="D7" s="5">
        <v>0.23796053494184013</v>
      </c>
    </row>
    <row r="8" spans="1:4">
      <c r="A8" s="3" t="s">
        <v>42</v>
      </c>
      <c r="B8" s="5">
        <v>0.15914432416286975</v>
      </c>
      <c r="C8" s="5">
        <v>0.2211883716466668</v>
      </c>
      <c r="D8" s="5">
        <v>0.18819323607965177</v>
      </c>
    </row>
    <row r="9" spans="1:4">
      <c r="A9" s="3" t="s">
        <v>16</v>
      </c>
      <c r="B9" s="5">
        <v>1</v>
      </c>
      <c r="C9" s="5">
        <v>1</v>
      </c>
      <c r="D9" s="5">
        <v>1</v>
      </c>
    </row>
    <row r="33" spans="2:2">
      <c r="B33">
        <f>GETPIVOTDATA("Total Sales",$A$3,"Region","North")</f>
        <v>0.31983848006428933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91337-CC94-F445-BDC3-D8AB51CA5DF2}">
  <dimension ref="A3:E8"/>
  <sheetViews>
    <sheetView workbookViewId="0">
      <selection activeCell="F41" sqref="F41"/>
    </sheetView>
  </sheetViews>
  <sheetFormatPr defaultColWidth="11.42578125" defaultRowHeight="15"/>
  <cols>
    <col min="1" max="1" width="14.28515625" bestFit="1" customWidth="1"/>
    <col min="2" max="2" width="19.140625" bestFit="1" customWidth="1"/>
    <col min="3" max="3" width="22.28515625" bestFit="1" customWidth="1"/>
    <col min="4" max="4" width="19.28515625" bestFit="1" customWidth="1"/>
    <col min="5" max="5" width="19" bestFit="1" customWidth="1"/>
  </cols>
  <sheetData>
    <row r="3" spans="1:5">
      <c r="A3" s="2" t="s">
        <v>4</v>
      </c>
      <c r="B3" t="s">
        <v>59</v>
      </c>
      <c r="C3" t="s">
        <v>6</v>
      </c>
      <c r="D3" t="s">
        <v>60</v>
      </c>
      <c r="E3" t="s">
        <v>61</v>
      </c>
    </row>
    <row r="4" spans="1:5">
      <c r="A4" s="3" t="s">
        <v>24</v>
      </c>
      <c r="B4" s="8">
        <v>63</v>
      </c>
      <c r="C4" s="6">
        <v>3562.434285714286</v>
      </c>
      <c r="D4" s="6">
        <v>12075.3</v>
      </c>
      <c r="E4" s="6">
        <v>263.10000000000002</v>
      </c>
    </row>
    <row r="5" spans="1:5">
      <c r="A5" s="3" t="s">
        <v>3</v>
      </c>
      <c r="B5" s="8">
        <v>61</v>
      </c>
      <c r="C5" s="6">
        <v>4632.7762295081975</v>
      </c>
      <c r="D5" s="6">
        <v>19230.2</v>
      </c>
      <c r="E5" s="6">
        <v>208.85</v>
      </c>
    </row>
    <row r="6" spans="1:5">
      <c r="A6" s="3" t="s">
        <v>41</v>
      </c>
      <c r="B6" s="8">
        <v>51</v>
      </c>
      <c r="C6" s="6">
        <v>4122.638039215688</v>
      </c>
      <c r="D6" s="6">
        <v>20534.2</v>
      </c>
      <c r="E6" s="6">
        <v>122.15</v>
      </c>
    </row>
    <row r="7" spans="1:5">
      <c r="A7" s="3" t="s">
        <v>42</v>
      </c>
      <c r="B7" s="8">
        <v>45</v>
      </c>
      <c r="C7" s="6">
        <v>3695.1488888888894</v>
      </c>
      <c r="D7" s="6">
        <v>18308.2</v>
      </c>
      <c r="E7" s="6">
        <v>92.97</v>
      </c>
    </row>
    <row r="8" spans="1:5">
      <c r="A8" s="3" t="s">
        <v>16</v>
      </c>
      <c r="B8" s="8">
        <v>220</v>
      </c>
      <c r="C8" s="8">
        <v>4016.2224999999976</v>
      </c>
      <c r="D8" s="8">
        <v>20534.2</v>
      </c>
      <c r="E8" s="8">
        <v>92.97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1"/>
  <sheetViews>
    <sheetView workbookViewId="0">
      <selection activeCell="E29" sqref="E29"/>
    </sheetView>
  </sheetViews>
  <sheetFormatPr defaultColWidth="8.85546875" defaultRowHeight="15"/>
  <cols>
    <col min="1" max="1" width="8.85546875" bestFit="1" customWidth="1"/>
    <col min="2" max="2" width="10.42578125" bestFit="1" customWidth="1"/>
    <col min="3" max="3" width="9.42578125" customWidth="1"/>
    <col min="4" max="4" width="16.42578125" customWidth="1"/>
    <col min="5" max="5" width="19.42578125" customWidth="1"/>
    <col min="6" max="6" width="15.28515625" customWidth="1"/>
    <col min="7" max="7" width="15.140625" customWidth="1"/>
    <col min="8" max="8" width="15.42578125" customWidth="1"/>
    <col min="10" max="10" width="10.85546875" customWidth="1"/>
    <col min="11" max="11" width="11" customWidth="1"/>
  </cols>
  <sheetData>
    <row r="1" spans="1:11">
      <c r="A1" t="s">
        <v>62</v>
      </c>
      <c r="B1" t="s">
        <v>63</v>
      </c>
      <c r="C1" t="s">
        <v>2</v>
      </c>
      <c r="D1" t="s">
        <v>64</v>
      </c>
      <c r="E1" t="s">
        <v>65</v>
      </c>
      <c r="F1" t="s">
        <v>66</v>
      </c>
      <c r="G1" t="s">
        <v>67</v>
      </c>
      <c r="H1" t="s">
        <v>0</v>
      </c>
      <c r="I1" t="s">
        <v>68</v>
      </c>
      <c r="J1" t="s">
        <v>69</v>
      </c>
      <c r="K1" t="s">
        <v>70</v>
      </c>
    </row>
    <row r="2" spans="1:11">
      <c r="A2" t="s">
        <v>71</v>
      </c>
      <c r="B2" s="1">
        <v>45787</v>
      </c>
      <c r="C2" t="s">
        <v>24</v>
      </c>
      <c r="D2" t="s">
        <v>72</v>
      </c>
      <c r="E2" t="s">
        <v>10</v>
      </c>
      <c r="F2" t="s">
        <v>73</v>
      </c>
      <c r="G2" t="s">
        <v>74</v>
      </c>
      <c r="H2" t="s">
        <v>58</v>
      </c>
      <c r="I2">
        <v>8</v>
      </c>
      <c r="J2">
        <v>626.14</v>
      </c>
      <c r="K2">
        <v>5009.12</v>
      </c>
    </row>
    <row r="3" spans="1:11">
      <c r="A3" t="s">
        <v>75</v>
      </c>
      <c r="B3" s="1">
        <v>45971</v>
      </c>
      <c r="C3" t="s">
        <v>41</v>
      </c>
      <c r="D3" t="s">
        <v>76</v>
      </c>
      <c r="E3" t="s">
        <v>14</v>
      </c>
      <c r="F3" t="s">
        <v>77</v>
      </c>
      <c r="G3" t="s">
        <v>78</v>
      </c>
      <c r="H3" t="s">
        <v>58</v>
      </c>
      <c r="I3">
        <v>1</v>
      </c>
      <c r="J3">
        <v>2066.0500000000002</v>
      </c>
      <c r="K3">
        <v>2066.0500000000002</v>
      </c>
    </row>
    <row r="4" spans="1:11">
      <c r="A4" t="s">
        <v>79</v>
      </c>
      <c r="B4" s="1">
        <v>45912</v>
      </c>
      <c r="C4" t="s">
        <v>41</v>
      </c>
      <c r="D4" t="s">
        <v>76</v>
      </c>
      <c r="E4" t="s">
        <v>14</v>
      </c>
      <c r="F4" t="s">
        <v>80</v>
      </c>
      <c r="G4" t="s">
        <v>81</v>
      </c>
      <c r="H4" t="s">
        <v>58</v>
      </c>
      <c r="I4">
        <v>6</v>
      </c>
      <c r="J4">
        <v>672.25</v>
      </c>
      <c r="K4">
        <v>4033.5</v>
      </c>
    </row>
    <row r="5" spans="1:11">
      <c r="A5" t="s">
        <v>82</v>
      </c>
      <c r="B5" s="1">
        <v>45940</v>
      </c>
      <c r="C5" t="s">
        <v>24</v>
      </c>
      <c r="D5" t="s">
        <v>83</v>
      </c>
      <c r="E5" t="s">
        <v>10</v>
      </c>
      <c r="F5" t="s">
        <v>73</v>
      </c>
      <c r="G5" t="s">
        <v>84</v>
      </c>
      <c r="H5" t="s">
        <v>1</v>
      </c>
      <c r="I5">
        <v>2</v>
      </c>
      <c r="J5">
        <v>619.69000000000005</v>
      </c>
      <c r="K5">
        <v>1239.3800000000001</v>
      </c>
    </row>
    <row r="6" spans="1:11">
      <c r="A6" t="s">
        <v>85</v>
      </c>
      <c r="B6" s="1">
        <v>46014</v>
      </c>
      <c r="C6" t="s">
        <v>42</v>
      </c>
      <c r="D6" t="s">
        <v>86</v>
      </c>
      <c r="E6" t="s">
        <v>13</v>
      </c>
      <c r="F6" t="s">
        <v>87</v>
      </c>
      <c r="G6" t="s">
        <v>74</v>
      </c>
      <c r="H6" t="s">
        <v>1</v>
      </c>
      <c r="I6">
        <v>4</v>
      </c>
      <c r="J6">
        <v>767.21</v>
      </c>
      <c r="K6">
        <v>3068.84</v>
      </c>
    </row>
    <row r="7" spans="1:11">
      <c r="A7" t="s">
        <v>88</v>
      </c>
      <c r="B7" s="1">
        <v>45702</v>
      </c>
      <c r="C7" t="s">
        <v>3</v>
      </c>
      <c r="D7" t="s">
        <v>89</v>
      </c>
      <c r="E7" t="s">
        <v>11</v>
      </c>
      <c r="F7" t="s">
        <v>90</v>
      </c>
      <c r="G7" t="s">
        <v>74</v>
      </c>
      <c r="H7" t="s">
        <v>58</v>
      </c>
      <c r="I7">
        <v>8</v>
      </c>
      <c r="J7">
        <v>201.53</v>
      </c>
      <c r="K7">
        <v>1612.24</v>
      </c>
    </row>
    <row r="8" spans="1:11">
      <c r="A8" t="s">
        <v>91</v>
      </c>
      <c r="B8" s="1">
        <v>45940</v>
      </c>
      <c r="C8" t="s">
        <v>3</v>
      </c>
      <c r="D8" t="s">
        <v>92</v>
      </c>
      <c r="E8" t="s">
        <v>14</v>
      </c>
      <c r="F8" t="s">
        <v>93</v>
      </c>
      <c r="G8" t="s">
        <v>94</v>
      </c>
      <c r="H8" t="s">
        <v>1</v>
      </c>
      <c r="I8">
        <v>4</v>
      </c>
      <c r="J8">
        <v>1509.89</v>
      </c>
      <c r="K8">
        <v>6039.56</v>
      </c>
    </row>
    <row r="9" spans="1:11">
      <c r="A9" t="s">
        <v>95</v>
      </c>
      <c r="B9" s="1">
        <v>45864</v>
      </c>
      <c r="C9" t="s">
        <v>41</v>
      </c>
      <c r="D9" t="s">
        <v>96</v>
      </c>
      <c r="E9" t="s">
        <v>12</v>
      </c>
      <c r="F9" t="s">
        <v>97</v>
      </c>
      <c r="G9" t="s">
        <v>78</v>
      </c>
      <c r="H9" t="s">
        <v>58</v>
      </c>
      <c r="I9">
        <v>1</v>
      </c>
      <c r="J9">
        <v>511.27</v>
      </c>
      <c r="K9">
        <v>511.27</v>
      </c>
    </row>
    <row r="10" spans="1:11">
      <c r="A10" t="s">
        <v>98</v>
      </c>
      <c r="B10" s="1">
        <v>45879</v>
      </c>
      <c r="C10" t="s">
        <v>3</v>
      </c>
      <c r="D10" t="s">
        <v>92</v>
      </c>
      <c r="E10" t="s">
        <v>14</v>
      </c>
      <c r="F10" t="s">
        <v>77</v>
      </c>
      <c r="G10" t="s">
        <v>99</v>
      </c>
      <c r="H10" t="s">
        <v>1</v>
      </c>
      <c r="I10">
        <v>8</v>
      </c>
      <c r="J10">
        <v>2063.4899999999998</v>
      </c>
      <c r="K10">
        <v>16507.919999999998</v>
      </c>
    </row>
    <row r="11" spans="1:11">
      <c r="A11" t="s">
        <v>100</v>
      </c>
      <c r="B11" s="1">
        <v>45993</v>
      </c>
      <c r="C11" t="s">
        <v>3</v>
      </c>
      <c r="D11" t="s">
        <v>101</v>
      </c>
      <c r="E11" t="s">
        <v>15</v>
      </c>
      <c r="F11" t="s">
        <v>102</v>
      </c>
      <c r="G11" t="s">
        <v>74</v>
      </c>
      <c r="H11" t="s">
        <v>1</v>
      </c>
      <c r="I11">
        <v>8</v>
      </c>
      <c r="J11">
        <v>156.22999999999999</v>
      </c>
      <c r="K11">
        <v>1249.8399999999999</v>
      </c>
    </row>
    <row r="12" spans="1:11">
      <c r="A12" t="s">
        <v>103</v>
      </c>
      <c r="B12" s="1">
        <v>45870</v>
      </c>
      <c r="C12" t="s">
        <v>3</v>
      </c>
      <c r="D12" t="s">
        <v>101</v>
      </c>
      <c r="E12" t="s">
        <v>11</v>
      </c>
      <c r="F12" t="s">
        <v>90</v>
      </c>
      <c r="G12" t="s">
        <v>78</v>
      </c>
      <c r="H12" t="s">
        <v>1</v>
      </c>
      <c r="I12">
        <v>4</v>
      </c>
      <c r="J12">
        <v>190.8</v>
      </c>
      <c r="K12">
        <v>763.2</v>
      </c>
    </row>
    <row r="13" spans="1:11">
      <c r="A13" t="s">
        <v>104</v>
      </c>
      <c r="B13" s="1">
        <v>45896</v>
      </c>
      <c r="C13" t="s">
        <v>3</v>
      </c>
      <c r="D13" t="s">
        <v>92</v>
      </c>
      <c r="E13" t="s">
        <v>11</v>
      </c>
      <c r="F13" t="s">
        <v>90</v>
      </c>
      <c r="G13" t="s">
        <v>81</v>
      </c>
      <c r="H13" t="s">
        <v>1</v>
      </c>
      <c r="I13">
        <v>5</v>
      </c>
      <c r="J13">
        <v>193.23</v>
      </c>
      <c r="K13">
        <v>966.15</v>
      </c>
    </row>
    <row r="14" spans="1:11">
      <c r="A14" t="s">
        <v>105</v>
      </c>
      <c r="B14" s="1">
        <v>45702</v>
      </c>
      <c r="C14" t="s">
        <v>41</v>
      </c>
      <c r="D14" t="s">
        <v>76</v>
      </c>
      <c r="E14" t="s">
        <v>10</v>
      </c>
      <c r="F14" t="s">
        <v>73</v>
      </c>
      <c r="G14" t="s">
        <v>78</v>
      </c>
      <c r="H14" t="s">
        <v>1</v>
      </c>
      <c r="I14">
        <v>9</v>
      </c>
      <c r="J14">
        <v>615.15</v>
      </c>
      <c r="K14">
        <v>5536.35</v>
      </c>
    </row>
    <row r="15" spans="1:11">
      <c r="A15" t="s">
        <v>106</v>
      </c>
      <c r="B15" s="1">
        <v>45953</v>
      </c>
      <c r="C15" t="s">
        <v>42</v>
      </c>
      <c r="D15" t="s">
        <v>107</v>
      </c>
      <c r="E15" t="s">
        <v>14</v>
      </c>
      <c r="F15" t="s">
        <v>80</v>
      </c>
      <c r="G15" t="s">
        <v>74</v>
      </c>
      <c r="H15" t="s">
        <v>58</v>
      </c>
      <c r="I15">
        <v>10</v>
      </c>
      <c r="J15">
        <v>693.06</v>
      </c>
      <c r="K15">
        <v>6930.6</v>
      </c>
    </row>
    <row r="16" spans="1:11">
      <c r="A16" t="s">
        <v>108</v>
      </c>
      <c r="B16" s="1">
        <v>45934</v>
      </c>
      <c r="C16" t="s">
        <v>24</v>
      </c>
      <c r="D16" t="s">
        <v>83</v>
      </c>
      <c r="E16" t="s">
        <v>11</v>
      </c>
      <c r="F16" t="s">
        <v>90</v>
      </c>
      <c r="G16" t="s">
        <v>78</v>
      </c>
      <c r="H16" t="s">
        <v>58</v>
      </c>
      <c r="I16">
        <v>2</v>
      </c>
      <c r="J16">
        <v>189.76</v>
      </c>
      <c r="K16">
        <v>379.52</v>
      </c>
    </row>
    <row r="17" spans="1:11">
      <c r="A17" t="s">
        <v>109</v>
      </c>
      <c r="B17" s="1">
        <v>45730</v>
      </c>
      <c r="C17" t="s">
        <v>3</v>
      </c>
      <c r="D17" t="s">
        <v>101</v>
      </c>
      <c r="E17" t="s">
        <v>13</v>
      </c>
      <c r="F17" t="s">
        <v>110</v>
      </c>
      <c r="G17" t="s">
        <v>84</v>
      </c>
      <c r="H17" t="s">
        <v>1</v>
      </c>
      <c r="I17">
        <v>7</v>
      </c>
      <c r="J17">
        <v>868.91</v>
      </c>
      <c r="K17">
        <v>6082.37</v>
      </c>
    </row>
    <row r="18" spans="1:11">
      <c r="A18" t="s">
        <v>111</v>
      </c>
      <c r="B18" s="1">
        <v>45998</v>
      </c>
      <c r="C18" t="s">
        <v>42</v>
      </c>
      <c r="D18" t="s">
        <v>107</v>
      </c>
      <c r="E18" t="s">
        <v>11</v>
      </c>
      <c r="F18" t="s">
        <v>112</v>
      </c>
      <c r="G18" t="s">
        <v>94</v>
      </c>
      <c r="H18" t="s">
        <v>1</v>
      </c>
      <c r="I18">
        <v>7</v>
      </c>
      <c r="J18">
        <v>361.06</v>
      </c>
      <c r="K18">
        <v>2527.42</v>
      </c>
    </row>
    <row r="19" spans="1:11">
      <c r="A19" t="s">
        <v>113</v>
      </c>
      <c r="B19" s="1">
        <v>45803</v>
      </c>
      <c r="C19" t="s">
        <v>3</v>
      </c>
      <c r="D19" t="s">
        <v>89</v>
      </c>
      <c r="E19" t="s">
        <v>15</v>
      </c>
      <c r="F19" t="s">
        <v>114</v>
      </c>
      <c r="G19" t="s">
        <v>84</v>
      </c>
      <c r="H19" t="s">
        <v>58</v>
      </c>
      <c r="I19">
        <v>6</v>
      </c>
      <c r="J19">
        <v>92.29</v>
      </c>
      <c r="K19">
        <v>553.74</v>
      </c>
    </row>
    <row r="20" spans="1:11">
      <c r="A20" t="s">
        <v>115</v>
      </c>
      <c r="B20" s="1">
        <v>46006</v>
      </c>
      <c r="C20" t="s">
        <v>42</v>
      </c>
      <c r="D20" t="s">
        <v>86</v>
      </c>
      <c r="E20" t="s">
        <v>13</v>
      </c>
      <c r="F20" t="s">
        <v>87</v>
      </c>
      <c r="G20" t="s">
        <v>94</v>
      </c>
      <c r="H20" t="s">
        <v>58</v>
      </c>
      <c r="I20">
        <v>5</v>
      </c>
      <c r="J20">
        <v>739.9</v>
      </c>
      <c r="K20">
        <v>3699.5</v>
      </c>
    </row>
    <row r="21" spans="1:11">
      <c r="A21" t="s">
        <v>116</v>
      </c>
      <c r="B21" s="1">
        <v>45945</v>
      </c>
      <c r="C21" t="s">
        <v>24</v>
      </c>
      <c r="D21" t="s">
        <v>72</v>
      </c>
      <c r="E21" t="s">
        <v>15</v>
      </c>
      <c r="F21" t="s">
        <v>102</v>
      </c>
      <c r="G21" t="s">
        <v>74</v>
      </c>
      <c r="H21" t="s">
        <v>1</v>
      </c>
      <c r="I21">
        <v>3</v>
      </c>
      <c r="J21">
        <v>147.88999999999999</v>
      </c>
      <c r="K21">
        <v>443.67</v>
      </c>
    </row>
    <row r="22" spans="1:11">
      <c r="A22" t="s">
        <v>117</v>
      </c>
      <c r="B22" s="1">
        <v>46014</v>
      </c>
      <c r="C22" t="s">
        <v>3</v>
      </c>
      <c r="D22" t="s">
        <v>101</v>
      </c>
      <c r="E22" t="s">
        <v>14</v>
      </c>
      <c r="F22" t="s">
        <v>77</v>
      </c>
      <c r="G22" t="s">
        <v>78</v>
      </c>
      <c r="H22" t="s">
        <v>1</v>
      </c>
      <c r="I22">
        <v>10</v>
      </c>
      <c r="J22">
        <v>1923.02</v>
      </c>
      <c r="K22">
        <v>19230.2</v>
      </c>
    </row>
    <row r="23" spans="1:11">
      <c r="A23" t="s">
        <v>118</v>
      </c>
      <c r="B23" s="1">
        <v>46012</v>
      </c>
      <c r="C23" t="s">
        <v>41</v>
      </c>
      <c r="D23" t="s">
        <v>96</v>
      </c>
      <c r="E23" t="s">
        <v>10</v>
      </c>
      <c r="F23" t="s">
        <v>119</v>
      </c>
      <c r="G23" t="s">
        <v>120</v>
      </c>
      <c r="H23" t="s">
        <v>1</v>
      </c>
      <c r="I23">
        <v>9</v>
      </c>
      <c r="J23">
        <v>919.89</v>
      </c>
      <c r="K23">
        <v>8279.01</v>
      </c>
    </row>
    <row r="24" spans="1:11">
      <c r="A24" t="s">
        <v>121</v>
      </c>
      <c r="B24" s="1">
        <v>45956</v>
      </c>
      <c r="C24" t="s">
        <v>42</v>
      </c>
      <c r="D24" t="s">
        <v>122</v>
      </c>
      <c r="E24" t="s">
        <v>13</v>
      </c>
      <c r="F24" t="s">
        <v>123</v>
      </c>
      <c r="G24" t="s">
        <v>74</v>
      </c>
      <c r="H24" t="s">
        <v>58</v>
      </c>
      <c r="I24">
        <v>8</v>
      </c>
      <c r="J24">
        <v>1216.6500000000001</v>
      </c>
      <c r="K24">
        <v>9733.2000000000007</v>
      </c>
    </row>
    <row r="25" spans="1:11">
      <c r="A25" t="s">
        <v>124</v>
      </c>
      <c r="B25" s="1">
        <v>45660</v>
      </c>
      <c r="C25" t="s">
        <v>3</v>
      </c>
      <c r="D25" t="s">
        <v>92</v>
      </c>
      <c r="E25" t="s">
        <v>13</v>
      </c>
      <c r="F25" t="s">
        <v>110</v>
      </c>
      <c r="G25" t="s">
        <v>99</v>
      </c>
      <c r="H25" t="s">
        <v>58</v>
      </c>
      <c r="I25">
        <v>9</v>
      </c>
      <c r="J25">
        <v>930.51</v>
      </c>
      <c r="K25">
        <v>8374.59</v>
      </c>
    </row>
    <row r="26" spans="1:11">
      <c r="A26" t="s">
        <v>125</v>
      </c>
      <c r="B26" s="1">
        <v>45697</v>
      </c>
      <c r="C26" t="s">
        <v>42</v>
      </c>
      <c r="D26" t="s">
        <v>122</v>
      </c>
      <c r="E26" t="s">
        <v>12</v>
      </c>
      <c r="F26" t="s">
        <v>97</v>
      </c>
      <c r="G26" t="s">
        <v>94</v>
      </c>
      <c r="H26" t="s">
        <v>1</v>
      </c>
      <c r="I26">
        <v>1</v>
      </c>
      <c r="J26">
        <v>520</v>
      </c>
      <c r="K26">
        <v>520</v>
      </c>
    </row>
    <row r="27" spans="1:11">
      <c r="A27" t="s">
        <v>126</v>
      </c>
      <c r="B27" s="1">
        <v>45984</v>
      </c>
      <c r="C27" t="s">
        <v>24</v>
      </c>
      <c r="D27" t="s">
        <v>83</v>
      </c>
      <c r="E27" t="s">
        <v>13</v>
      </c>
      <c r="F27" t="s">
        <v>110</v>
      </c>
      <c r="G27" t="s">
        <v>74</v>
      </c>
      <c r="H27" t="s">
        <v>1</v>
      </c>
      <c r="I27">
        <v>1</v>
      </c>
      <c r="J27">
        <v>903.55</v>
      </c>
      <c r="K27">
        <v>903.55</v>
      </c>
    </row>
    <row r="28" spans="1:11">
      <c r="A28" t="s">
        <v>127</v>
      </c>
      <c r="B28" s="1">
        <v>45856</v>
      </c>
      <c r="C28" t="s">
        <v>3</v>
      </c>
      <c r="D28" t="s">
        <v>101</v>
      </c>
      <c r="E28" t="s">
        <v>13</v>
      </c>
      <c r="F28" t="s">
        <v>123</v>
      </c>
      <c r="G28" t="s">
        <v>84</v>
      </c>
      <c r="H28" t="s">
        <v>58</v>
      </c>
      <c r="I28">
        <v>6</v>
      </c>
      <c r="J28">
        <v>1195.26</v>
      </c>
      <c r="K28">
        <v>7171.56</v>
      </c>
    </row>
    <row r="29" spans="1:11">
      <c r="A29" t="s">
        <v>128</v>
      </c>
      <c r="B29" s="1">
        <v>45755</v>
      </c>
      <c r="C29" t="s">
        <v>42</v>
      </c>
      <c r="D29" t="s">
        <v>86</v>
      </c>
      <c r="E29" t="s">
        <v>11</v>
      </c>
      <c r="F29" t="s">
        <v>129</v>
      </c>
      <c r="G29" t="s">
        <v>94</v>
      </c>
      <c r="H29" t="s">
        <v>1</v>
      </c>
      <c r="I29">
        <v>7</v>
      </c>
      <c r="J29">
        <v>304.87</v>
      </c>
      <c r="K29">
        <v>2134.09</v>
      </c>
    </row>
    <row r="30" spans="1:11">
      <c r="A30" t="s">
        <v>130</v>
      </c>
      <c r="B30" s="1">
        <v>45766</v>
      </c>
      <c r="C30" t="s">
        <v>24</v>
      </c>
      <c r="D30" t="s">
        <v>83</v>
      </c>
      <c r="E30" t="s">
        <v>15</v>
      </c>
      <c r="F30" t="s">
        <v>102</v>
      </c>
      <c r="G30" t="s">
        <v>94</v>
      </c>
      <c r="H30" t="s">
        <v>1</v>
      </c>
      <c r="I30">
        <v>9</v>
      </c>
      <c r="J30">
        <v>150.01</v>
      </c>
      <c r="K30">
        <v>1350.09</v>
      </c>
    </row>
    <row r="31" spans="1:11">
      <c r="A31" t="s">
        <v>131</v>
      </c>
      <c r="B31" s="1">
        <v>45987</v>
      </c>
      <c r="C31" t="s">
        <v>41</v>
      </c>
      <c r="D31" t="s">
        <v>96</v>
      </c>
      <c r="E31" t="s">
        <v>15</v>
      </c>
      <c r="F31" t="s">
        <v>132</v>
      </c>
      <c r="G31" t="s">
        <v>81</v>
      </c>
      <c r="H31" t="s">
        <v>58</v>
      </c>
      <c r="I31">
        <v>3</v>
      </c>
      <c r="J31">
        <v>123.98</v>
      </c>
      <c r="K31">
        <v>371.94</v>
      </c>
    </row>
    <row r="32" spans="1:11">
      <c r="A32" t="s">
        <v>133</v>
      </c>
      <c r="B32" s="1">
        <v>45927</v>
      </c>
      <c r="C32" t="s">
        <v>42</v>
      </c>
      <c r="D32" t="s">
        <v>107</v>
      </c>
      <c r="E32" t="s">
        <v>15</v>
      </c>
      <c r="F32" t="s">
        <v>114</v>
      </c>
      <c r="G32" t="s">
        <v>84</v>
      </c>
      <c r="H32" t="s">
        <v>1</v>
      </c>
      <c r="I32">
        <v>8</v>
      </c>
      <c r="J32">
        <v>90.79</v>
      </c>
      <c r="K32">
        <v>726.32</v>
      </c>
    </row>
    <row r="33" spans="1:11">
      <c r="A33" t="s">
        <v>134</v>
      </c>
      <c r="B33" s="1">
        <v>45692</v>
      </c>
      <c r="C33" t="s">
        <v>24</v>
      </c>
      <c r="D33" t="s">
        <v>83</v>
      </c>
      <c r="E33" t="s">
        <v>10</v>
      </c>
      <c r="F33" t="s">
        <v>73</v>
      </c>
      <c r="G33" t="s">
        <v>135</v>
      </c>
      <c r="H33" t="s">
        <v>58</v>
      </c>
      <c r="I33">
        <v>7</v>
      </c>
      <c r="J33">
        <v>600.27</v>
      </c>
      <c r="K33">
        <v>4201.8900000000003</v>
      </c>
    </row>
    <row r="34" spans="1:11">
      <c r="A34" t="s">
        <v>136</v>
      </c>
      <c r="B34" s="1">
        <v>45973</v>
      </c>
      <c r="C34" t="s">
        <v>42</v>
      </c>
      <c r="D34" t="s">
        <v>86</v>
      </c>
      <c r="E34" t="s">
        <v>11</v>
      </c>
      <c r="F34" t="s">
        <v>90</v>
      </c>
      <c r="G34" t="s">
        <v>99</v>
      </c>
      <c r="H34" t="s">
        <v>58</v>
      </c>
      <c r="I34">
        <v>8</v>
      </c>
      <c r="J34">
        <v>198.8</v>
      </c>
      <c r="K34">
        <v>1590.4</v>
      </c>
    </row>
    <row r="35" spans="1:11">
      <c r="A35" t="s">
        <v>137</v>
      </c>
      <c r="B35" s="1">
        <v>45853</v>
      </c>
      <c r="C35" t="s">
        <v>41</v>
      </c>
      <c r="D35" t="s">
        <v>96</v>
      </c>
      <c r="E35" t="s">
        <v>11</v>
      </c>
      <c r="F35" t="s">
        <v>129</v>
      </c>
      <c r="G35" t="s">
        <v>94</v>
      </c>
      <c r="H35" t="s">
        <v>58</v>
      </c>
      <c r="I35">
        <v>1</v>
      </c>
      <c r="J35">
        <v>312.97000000000003</v>
      </c>
      <c r="K35">
        <v>312.97000000000003</v>
      </c>
    </row>
    <row r="36" spans="1:11">
      <c r="A36" t="s">
        <v>138</v>
      </c>
      <c r="B36" s="1">
        <v>45814</v>
      </c>
      <c r="C36" t="s">
        <v>24</v>
      </c>
      <c r="D36" t="s">
        <v>83</v>
      </c>
      <c r="E36" t="s">
        <v>14</v>
      </c>
      <c r="F36" t="s">
        <v>80</v>
      </c>
      <c r="G36" t="s">
        <v>78</v>
      </c>
      <c r="H36" t="s">
        <v>1</v>
      </c>
      <c r="I36">
        <v>7</v>
      </c>
      <c r="J36">
        <v>687.16</v>
      </c>
      <c r="K36">
        <v>4810.12</v>
      </c>
    </row>
    <row r="37" spans="1:11">
      <c r="A37" t="s">
        <v>139</v>
      </c>
      <c r="B37" s="1">
        <v>45849</v>
      </c>
      <c r="C37" t="s">
        <v>24</v>
      </c>
      <c r="D37" t="s">
        <v>72</v>
      </c>
      <c r="E37" t="s">
        <v>15</v>
      </c>
      <c r="F37" t="s">
        <v>114</v>
      </c>
      <c r="G37" t="s">
        <v>81</v>
      </c>
      <c r="H37" t="s">
        <v>1</v>
      </c>
      <c r="I37">
        <v>8</v>
      </c>
      <c r="J37">
        <v>91.79</v>
      </c>
      <c r="K37">
        <v>734.32</v>
      </c>
    </row>
    <row r="38" spans="1:11">
      <c r="A38" t="s">
        <v>140</v>
      </c>
      <c r="B38" s="1">
        <v>45731</v>
      </c>
      <c r="C38" t="s">
        <v>41</v>
      </c>
      <c r="D38" t="s">
        <v>76</v>
      </c>
      <c r="E38" t="s">
        <v>11</v>
      </c>
      <c r="F38" t="s">
        <v>129</v>
      </c>
      <c r="G38" t="s">
        <v>135</v>
      </c>
      <c r="H38" t="s">
        <v>58</v>
      </c>
      <c r="I38">
        <v>6</v>
      </c>
      <c r="J38">
        <v>312.39</v>
      </c>
      <c r="K38">
        <v>1874.34</v>
      </c>
    </row>
    <row r="39" spans="1:11">
      <c r="A39" t="s">
        <v>141</v>
      </c>
      <c r="B39" s="1">
        <v>45997</v>
      </c>
      <c r="C39" t="s">
        <v>24</v>
      </c>
      <c r="D39" t="s">
        <v>72</v>
      </c>
      <c r="E39" t="s">
        <v>10</v>
      </c>
      <c r="F39" t="s">
        <v>142</v>
      </c>
      <c r="G39" t="s">
        <v>94</v>
      </c>
      <c r="H39" t="s">
        <v>1</v>
      </c>
      <c r="I39">
        <v>8</v>
      </c>
      <c r="J39">
        <v>1310.49</v>
      </c>
      <c r="K39">
        <v>10483.92</v>
      </c>
    </row>
    <row r="40" spans="1:11">
      <c r="A40" t="s">
        <v>143</v>
      </c>
      <c r="B40" s="1">
        <v>45918</v>
      </c>
      <c r="C40" t="s">
        <v>42</v>
      </c>
      <c r="D40" t="s">
        <v>122</v>
      </c>
      <c r="E40" t="s">
        <v>10</v>
      </c>
      <c r="F40" t="s">
        <v>119</v>
      </c>
      <c r="G40" t="s">
        <v>78</v>
      </c>
      <c r="H40" t="s">
        <v>58</v>
      </c>
      <c r="I40">
        <v>2</v>
      </c>
      <c r="J40">
        <v>908.98</v>
      </c>
      <c r="K40">
        <v>1817.96</v>
      </c>
    </row>
    <row r="41" spans="1:11">
      <c r="A41" t="s">
        <v>144</v>
      </c>
      <c r="B41" s="1">
        <v>45875</v>
      </c>
      <c r="C41" t="s">
        <v>3</v>
      </c>
      <c r="D41" t="s">
        <v>101</v>
      </c>
      <c r="E41" t="s">
        <v>12</v>
      </c>
      <c r="F41" t="s">
        <v>97</v>
      </c>
      <c r="G41" t="s">
        <v>120</v>
      </c>
      <c r="H41" t="s">
        <v>58</v>
      </c>
      <c r="I41">
        <v>8</v>
      </c>
      <c r="J41">
        <v>487.92</v>
      </c>
      <c r="K41">
        <v>3903.36</v>
      </c>
    </row>
    <row r="42" spans="1:11">
      <c r="A42" t="s">
        <v>145</v>
      </c>
      <c r="B42" s="1">
        <v>45933</v>
      </c>
      <c r="C42" t="s">
        <v>3</v>
      </c>
      <c r="D42" t="s">
        <v>101</v>
      </c>
      <c r="E42" t="s">
        <v>14</v>
      </c>
      <c r="F42" t="s">
        <v>80</v>
      </c>
      <c r="G42" t="s">
        <v>84</v>
      </c>
      <c r="H42" t="s">
        <v>1</v>
      </c>
      <c r="I42">
        <v>10</v>
      </c>
      <c r="J42">
        <v>730.62</v>
      </c>
      <c r="K42">
        <v>7306.2</v>
      </c>
    </row>
    <row r="43" spans="1:11">
      <c r="A43" t="s">
        <v>146</v>
      </c>
      <c r="B43" s="1">
        <v>45742</v>
      </c>
      <c r="C43" t="s">
        <v>41</v>
      </c>
      <c r="D43" t="s">
        <v>147</v>
      </c>
      <c r="E43" t="s">
        <v>10</v>
      </c>
      <c r="F43" t="s">
        <v>142</v>
      </c>
      <c r="G43" t="s">
        <v>120</v>
      </c>
      <c r="H43" t="s">
        <v>58</v>
      </c>
      <c r="I43">
        <v>1</v>
      </c>
      <c r="J43">
        <v>1330.43</v>
      </c>
      <c r="K43">
        <v>1330.43</v>
      </c>
    </row>
    <row r="44" spans="1:11">
      <c r="A44" t="s">
        <v>148</v>
      </c>
      <c r="B44" s="1">
        <v>45932</v>
      </c>
      <c r="C44" t="s">
        <v>3</v>
      </c>
      <c r="D44" t="s">
        <v>89</v>
      </c>
      <c r="E44" t="s">
        <v>10</v>
      </c>
      <c r="F44" t="s">
        <v>142</v>
      </c>
      <c r="G44" t="s">
        <v>99</v>
      </c>
      <c r="H44" t="s">
        <v>58</v>
      </c>
      <c r="I44">
        <v>4</v>
      </c>
      <c r="J44">
        <v>1248.9000000000001</v>
      </c>
      <c r="K44">
        <v>4995.6000000000004</v>
      </c>
    </row>
    <row r="45" spans="1:11">
      <c r="A45" t="s">
        <v>149</v>
      </c>
      <c r="B45" s="1">
        <v>45903</v>
      </c>
      <c r="C45" t="s">
        <v>42</v>
      </c>
      <c r="D45" t="s">
        <v>86</v>
      </c>
      <c r="E45" t="s">
        <v>11</v>
      </c>
      <c r="F45" t="s">
        <v>129</v>
      </c>
      <c r="G45" t="s">
        <v>94</v>
      </c>
      <c r="H45" t="s">
        <v>58</v>
      </c>
      <c r="I45">
        <v>2</v>
      </c>
      <c r="J45">
        <v>295.11</v>
      </c>
      <c r="K45">
        <v>590.22</v>
      </c>
    </row>
    <row r="46" spans="1:11">
      <c r="A46" t="s">
        <v>150</v>
      </c>
      <c r="B46" s="1">
        <v>45720</v>
      </c>
      <c r="C46" t="s">
        <v>42</v>
      </c>
      <c r="D46" t="s">
        <v>122</v>
      </c>
      <c r="E46" t="s">
        <v>15</v>
      </c>
      <c r="F46" t="s">
        <v>102</v>
      </c>
      <c r="G46" t="s">
        <v>120</v>
      </c>
      <c r="H46" t="s">
        <v>58</v>
      </c>
      <c r="I46">
        <v>6</v>
      </c>
      <c r="J46">
        <v>156.61000000000001</v>
      </c>
      <c r="K46">
        <v>939.66</v>
      </c>
    </row>
    <row r="47" spans="1:11">
      <c r="A47" t="s">
        <v>151</v>
      </c>
      <c r="B47" s="1">
        <v>45845</v>
      </c>
      <c r="C47" t="s">
        <v>24</v>
      </c>
      <c r="D47" t="s">
        <v>72</v>
      </c>
      <c r="E47" t="s">
        <v>12</v>
      </c>
      <c r="F47" t="s">
        <v>97</v>
      </c>
      <c r="G47" t="s">
        <v>78</v>
      </c>
      <c r="H47" t="s">
        <v>1</v>
      </c>
      <c r="I47">
        <v>10</v>
      </c>
      <c r="J47">
        <v>515.26</v>
      </c>
      <c r="K47">
        <v>5152.6000000000004</v>
      </c>
    </row>
    <row r="48" spans="1:11">
      <c r="A48" t="s">
        <v>152</v>
      </c>
      <c r="B48" s="1">
        <v>45670</v>
      </c>
      <c r="C48" t="s">
        <v>42</v>
      </c>
      <c r="D48" t="s">
        <v>122</v>
      </c>
      <c r="E48" t="s">
        <v>10</v>
      </c>
      <c r="F48" t="s">
        <v>119</v>
      </c>
      <c r="G48" t="s">
        <v>94</v>
      </c>
      <c r="H48" t="s">
        <v>1</v>
      </c>
      <c r="I48">
        <v>10</v>
      </c>
      <c r="J48">
        <v>897.82</v>
      </c>
      <c r="K48">
        <v>8978.2000000000007</v>
      </c>
    </row>
    <row r="49" spans="1:11">
      <c r="A49" t="s">
        <v>153</v>
      </c>
      <c r="B49" s="1">
        <v>45784</v>
      </c>
      <c r="C49" t="s">
        <v>24</v>
      </c>
      <c r="D49" t="s">
        <v>83</v>
      </c>
      <c r="E49" t="s">
        <v>10</v>
      </c>
      <c r="F49" t="s">
        <v>73</v>
      </c>
      <c r="G49" t="s">
        <v>120</v>
      </c>
      <c r="H49" t="s">
        <v>58</v>
      </c>
      <c r="I49">
        <v>10</v>
      </c>
      <c r="J49">
        <v>603.61</v>
      </c>
      <c r="K49">
        <v>6036.1</v>
      </c>
    </row>
    <row r="50" spans="1:11">
      <c r="A50" t="s">
        <v>154</v>
      </c>
      <c r="B50" s="1">
        <v>45750</v>
      </c>
      <c r="C50" t="s">
        <v>42</v>
      </c>
      <c r="D50" t="s">
        <v>107</v>
      </c>
      <c r="E50" t="s">
        <v>11</v>
      </c>
      <c r="F50" t="s">
        <v>90</v>
      </c>
      <c r="G50" t="s">
        <v>81</v>
      </c>
      <c r="H50" t="s">
        <v>1</v>
      </c>
      <c r="I50">
        <v>1</v>
      </c>
      <c r="J50">
        <v>190.04</v>
      </c>
      <c r="K50">
        <v>190.04</v>
      </c>
    </row>
    <row r="51" spans="1:11">
      <c r="A51" t="s">
        <v>155</v>
      </c>
      <c r="B51" s="1">
        <v>45666</v>
      </c>
      <c r="C51" t="s">
        <v>24</v>
      </c>
      <c r="D51" t="s">
        <v>83</v>
      </c>
      <c r="E51" t="s">
        <v>15</v>
      </c>
      <c r="F51" t="s">
        <v>102</v>
      </c>
      <c r="G51" t="s">
        <v>99</v>
      </c>
      <c r="H51" t="s">
        <v>1</v>
      </c>
      <c r="I51">
        <v>5</v>
      </c>
      <c r="J51">
        <v>148.84</v>
      </c>
      <c r="K51">
        <v>744.2</v>
      </c>
    </row>
    <row r="52" spans="1:11">
      <c r="A52" t="s">
        <v>156</v>
      </c>
      <c r="B52" s="1">
        <v>45937</v>
      </c>
      <c r="C52" t="s">
        <v>3</v>
      </c>
      <c r="D52" t="s">
        <v>89</v>
      </c>
      <c r="E52" t="s">
        <v>11</v>
      </c>
      <c r="F52" t="s">
        <v>90</v>
      </c>
      <c r="G52" t="s">
        <v>81</v>
      </c>
      <c r="H52" t="s">
        <v>58</v>
      </c>
      <c r="I52">
        <v>8</v>
      </c>
      <c r="J52">
        <v>208.19</v>
      </c>
      <c r="K52">
        <v>1665.52</v>
      </c>
    </row>
    <row r="53" spans="1:11">
      <c r="A53" t="s">
        <v>157</v>
      </c>
      <c r="B53" s="1">
        <v>45751</v>
      </c>
      <c r="C53" t="s">
        <v>3</v>
      </c>
      <c r="D53" t="s">
        <v>101</v>
      </c>
      <c r="E53" t="s">
        <v>14</v>
      </c>
      <c r="F53" t="s">
        <v>80</v>
      </c>
      <c r="G53" t="s">
        <v>135</v>
      </c>
      <c r="H53" t="s">
        <v>1</v>
      </c>
      <c r="I53">
        <v>6</v>
      </c>
      <c r="J53">
        <v>731.32</v>
      </c>
      <c r="K53">
        <v>4387.92</v>
      </c>
    </row>
    <row r="54" spans="1:11">
      <c r="A54" t="s">
        <v>158</v>
      </c>
      <c r="B54" s="1">
        <v>45925</v>
      </c>
      <c r="C54" t="s">
        <v>24</v>
      </c>
      <c r="D54" t="s">
        <v>72</v>
      </c>
      <c r="E54" t="s">
        <v>10</v>
      </c>
      <c r="F54" t="s">
        <v>142</v>
      </c>
      <c r="G54" t="s">
        <v>135</v>
      </c>
      <c r="H54" t="s">
        <v>58</v>
      </c>
      <c r="I54">
        <v>4</v>
      </c>
      <c r="J54">
        <v>1287.6600000000001</v>
      </c>
      <c r="K54">
        <v>5150.6400000000003</v>
      </c>
    </row>
    <row r="55" spans="1:11">
      <c r="A55" t="s">
        <v>159</v>
      </c>
      <c r="B55" s="1">
        <v>45832</v>
      </c>
      <c r="C55" t="s">
        <v>41</v>
      </c>
      <c r="D55" t="s">
        <v>147</v>
      </c>
      <c r="E55" t="s">
        <v>12</v>
      </c>
      <c r="F55" t="s">
        <v>160</v>
      </c>
      <c r="G55" t="s">
        <v>81</v>
      </c>
      <c r="H55" t="s">
        <v>1</v>
      </c>
      <c r="I55">
        <v>1</v>
      </c>
      <c r="J55">
        <v>1851.39</v>
      </c>
      <c r="K55">
        <v>1851.39</v>
      </c>
    </row>
    <row r="56" spans="1:11">
      <c r="A56" t="s">
        <v>161</v>
      </c>
      <c r="B56" s="1">
        <v>46018</v>
      </c>
      <c r="C56" t="s">
        <v>42</v>
      </c>
      <c r="D56" t="s">
        <v>86</v>
      </c>
      <c r="E56" t="s">
        <v>11</v>
      </c>
      <c r="F56" t="s">
        <v>90</v>
      </c>
      <c r="G56" t="s">
        <v>94</v>
      </c>
      <c r="H56" t="s">
        <v>1</v>
      </c>
      <c r="I56">
        <v>2</v>
      </c>
      <c r="J56">
        <v>207.36</v>
      </c>
      <c r="K56">
        <v>414.72</v>
      </c>
    </row>
    <row r="57" spans="1:11">
      <c r="A57" t="s">
        <v>162</v>
      </c>
      <c r="B57" s="1">
        <v>45712</v>
      </c>
      <c r="C57" t="s">
        <v>24</v>
      </c>
      <c r="D57" t="s">
        <v>83</v>
      </c>
      <c r="E57" t="s">
        <v>10</v>
      </c>
      <c r="F57" t="s">
        <v>119</v>
      </c>
      <c r="G57" t="s">
        <v>99</v>
      </c>
      <c r="H57" t="s">
        <v>1</v>
      </c>
      <c r="I57">
        <v>9</v>
      </c>
      <c r="J57">
        <v>878.51</v>
      </c>
      <c r="K57">
        <v>7906.59</v>
      </c>
    </row>
    <row r="58" spans="1:11">
      <c r="A58" t="s">
        <v>163</v>
      </c>
      <c r="B58" s="1">
        <v>45859</v>
      </c>
      <c r="C58" t="s">
        <v>3</v>
      </c>
      <c r="D58" t="s">
        <v>101</v>
      </c>
      <c r="E58" t="s">
        <v>13</v>
      </c>
      <c r="F58" t="s">
        <v>110</v>
      </c>
      <c r="G58" t="s">
        <v>74</v>
      </c>
      <c r="H58" t="s">
        <v>1</v>
      </c>
      <c r="I58">
        <v>3</v>
      </c>
      <c r="J58">
        <v>881.74</v>
      </c>
      <c r="K58">
        <v>2645.22</v>
      </c>
    </row>
    <row r="59" spans="1:11">
      <c r="A59" t="s">
        <v>164</v>
      </c>
      <c r="B59" s="1">
        <v>45714</v>
      </c>
      <c r="C59" t="s">
        <v>42</v>
      </c>
      <c r="D59" t="s">
        <v>107</v>
      </c>
      <c r="E59" t="s">
        <v>14</v>
      </c>
      <c r="F59" t="s">
        <v>93</v>
      </c>
      <c r="G59" t="s">
        <v>84</v>
      </c>
      <c r="H59" t="s">
        <v>1</v>
      </c>
      <c r="I59">
        <v>8</v>
      </c>
      <c r="J59">
        <v>1545.6</v>
      </c>
      <c r="K59">
        <v>12364.8</v>
      </c>
    </row>
    <row r="60" spans="1:11">
      <c r="A60" t="s">
        <v>165</v>
      </c>
      <c r="B60" s="1">
        <v>46021</v>
      </c>
      <c r="C60" t="s">
        <v>24</v>
      </c>
      <c r="D60" t="s">
        <v>72</v>
      </c>
      <c r="E60" t="s">
        <v>13</v>
      </c>
      <c r="F60" t="s">
        <v>123</v>
      </c>
      <c r="G60" t="s">
        <v>94</v>
      </c>
      <c r="H60" t="s">
        <v>58</v>
      </c>
      <c r="I60">
        <v>7</v>
      </c>
      <c r="J60">
        <v>1256.5</v>
      </c>
      <c r="K60">
        <v>8795.5</v>
      </c>
    </row>
    <row r="61" spans="1:11">
      <c r="A61" t="s">
        <v>166</v>
      </c>
      <c r="B61" s="1">
        <v>45760</v>
      </c>
      <c r="C61" t="s">
        <v>41</v>
      </c>
      <c r="D61" t="s">
        <v>76</v>
      </c>
      <c r="E61" t="s">
        <v>14</v>
      </c>
      <c r="F61" t="s">
        <v>93</v>
      </c>
      <c r="G61" t="s">
        <v>94</v>
      </c>
      <c r="H61" t="s">
        <v>58</v>
      </c>
      <c r="I61">
        <v>2</v>
      </c>
      <c r="J61">
        <v>1438.38</v>
      </c>
      <c r="K61">
        <v>2876.76</v>
      </c>
    </row>
    <row r="62" spans="1:11">
      <c r="A62" t="s">
        <v>167</v>
      </c>
      <c r="B62" s="1">
        <v>45736</v>
      </c>
      <c r="C62" t="s">
        <v>24</v>
      </c>
      <c r="D62" t="s">
        <v>72</v>
      </c>
      <c r="E62" t="s">
        <v>10</v>
      </c>
      <c r="F62" t="s">
        <v>142</v>
      </c>
      <c r="G62" t="s">
        <v>99</v>
      </c>
      <c r="H62" t="s">
        <v>1</v>
      </c>
      <c r="I62">
        <v>2</v>
      </c>
      <c r="J62">
        <v>1303.25</v>
      </c>
      <c r="K62">
        <v>2606.5</v>
      </c>
    </row>
    <row r="63" spans="1:11">
      <c r="A63" t="s">
        <v>168</v>
      </c>
      <c r="B63" s="1">
        <v>45694</v>
      </c>
      <c r="C63" t="s">
        <v>3</v>
      </c>
      <c r="D63" t="s">
        <v>92</v>
      </c>
      <c r="E63" t="s">
        <v>15</v>
      </c>
      <c r="F63" t="s">
        <v>114</v>
      </c>
      <c r="G63" t="s">
        <v>135</v>
      </c>
      <c r="H63" t="s">
        <v>1</v>
      </c>
      <c r="I63">
        <v>9</v>
      </c>
      <c r="J63">
        <v>87.59</v>
      </c>
      <c r="K63">
        <v>788.31</v>
      </c>
    </row>
    <row r="64" spans="1:11">
      <c r="A64" t="s">
        <v>169</v>
      </c>
      <c r="B64" s="1">
        <v>45890</v>
      </c>
      <c r="C64" t="s">
        <v>3</v>
      </c>
      <c r="D64" t="s">
        <v>92</v>
      </c>
      <c r="E64" t="s">
        <v>11</v>
      </c>
      <c r="F64" t="s">
        <v>112</v>
      </c>
      <c r="G64" t="s">
        <v>94</v>
      </c>
      <c r="H64" t="s">
        <v>58</v>
      </c>
      <c r="I64">
        <v>6</v>
      </c>
      <c r="J64">
        <v>361.44</v>
      </c>
      <c r="K64">
        <v>2168.64</v>
      </c>
    </row>
    <row r="65" spans="1:11">
      <c r="A65" t="s">
        <v>170</v>
      </c>
      <c r="B65" s="1">
        <v>46005</v>
      </c>
      <c r="C65" t="s">
        <v>3</v>
      </c>
      <c r="D65" t="s">
        <v>101</v>
      </c>
      <c r="E65" t="s">
        <v>10</v>
      </c>
      <c r="F65" t="s">
        <v>142</v>
      </c>
      <c r="G65" t="s">
        <v>78</v>
      </c>
      <c r="H65" t="s">
        <v>1</v>
      </c>
      <c r="I65">
        <v>5</v>
      </c>
      <c r="J65">
        <v>1340.6</v>
      </c>
      <c r="K65">
        <v>6703</v>
      </c>
    </row>
    <row r="66" spans="1:11">
      <c r="A66" t="s">
        <v>171</v>
      </c>
      <c r="B66" s="1">
        <v>45706</v>
      </c>
      <c r="C66" t="s">
        <v>42</v>
      </c>
      <c r="D66" t="s">
        <v>107</v>
      </c>
      <c r="E66" t="s">
        <v>10</v>
      </c>
      <c r="F66" t="s">
        <v>142</v>
      </c>
      <c r="G66" t="s">
        <v>120</v>
      </c>
      <c r="H66" t="s">
        <v>1</v>
      </c>
      <c r="I66">
        <v>1</v>
      </c>
      <c r="J66">
        <v>1270.92</v>
      </c>
      <c r="K66">
        <v>1270.92</v>
      </c>
    </row>
    <row r="67" spans="1:11">
      <c r="A67" t="s">
        <v>172</v>
      </c>
      <c r="B67" s="1">
        <v>45820</v>
      </c>
      <c r="C67" t="s">
        <v>24</v>
      </c>
      <c r="D67" t="s">
        <v>83</v>
      </c>
      <c r="E67" t="s">
        <v>12</v>
      </c>
      <c r="F67" t="s">
        <v>173</v>
      </c>
      <c r="G67" t="s">
        <v>135</v>
      </c>
      <c r="H67" t="s">
        <v>58</v>
      </c>
      <c r="I67">
        <v>2</v>
      </c>
      <c r="J67">
        <v>156.12</v>
      </c>
      <c r="K67">
        <v>312.24</v>
      </c>
    </row>
    <row r="68" spans="1:11">
      <c r="A68" t="s">
        <v>174</v>
      </c>
      <c r="B68" s="1">
        <v>45978</v>
      </c>
      <c r="C68" t="s">
        <v>3</v>
      </c>
      <c r="D68" t="s">
        <v>92</v>
      </c>
      <c r="E68" t="s">
        <v>14</v>
      </c>
      <c r="F68" t="s">
        <v>80</v>
      </c>
      <c r="G68" t="s">
        <v>74</v>
      </c>
      <c r="H68" t="s">
        <v>58</v>
      </c>
      <c r="I68">
        <v>7</v>
      </c>
      <c r="J68">
        <v>729.4</v>
      </c>
      <c r="K68">
        <v>5105.8</v>
      </c>
    </row>
    <row r="69" spans="1:11">
      <c r="A69" t="s">
        <v>175</v>
      </c>
      <c r="B69" s="1">
        <v>45999</v>
      </c>
      <c r="C69" t="s">
        <v>3</v>
      </c>
      <c r="D69" t="s">
        <v>89</v>
      </c>
      <c r="E69" t="s">
        <v>14</v>
      </c>
      <c r="F69" t="s">
        <v>80</v>
      </c>
      <c r="G69" t="s">
        <v>135</v>
      </c>
      <c r="H69" t="s">
        <v>1</v>
      </c>
      <c r="I69">
        <v>9</v>
      </c>
      <c r="J69">
        <v>713.4</v>
      </c>
      <c r="K69">
        <v>6420.6</v>
      </c>
    </row>
    <row r="70" spans="1:11">
      <c r="A70" t="s">
        <v>176</v>
      </c>
      <c r="B70" s="1">
        <v>45955</v>
      </c>
      <c r="C70" t="s">
        <v>41</v>
      </c>
      <c r="D70" t="s">
        <v>76</v>
      </c>
      <c r="E70" t="s">
        <v>11</v>
      </c>
      <c r="F70" t="s">
        <v>112</v>
      </c>
      <c r="G70" t="s">
        <v>78</v>
      </c>
      <c r="H70" t="s">
        <v>58</v>
      </c>
      <c r="I70">
        <v>7</v>
      </c>
      <c r="J70">
        <v>344.6</v>
      </c>
      <c r="K70">
        <v>2412.1999999999998</v>
      </c>
    </row>
    <row r="71" spans="1:11">
      <c r="A71" t="s">
        <v>177</v>
      </c>
      <c r="B71" s="1">
        <v>45813</v>
      </c>
      <c r="C71" t="s">
        <v>3</v>
      </c>
      <c r="D71" t="s">
        <v>101</v>
      </c>
      <c r="E71" t="s">
        <v>12</v>
      </c>
      <c r="F71" t="s">
        <v>178</v>
      </c>
      <c r="G71" t="s">
        <v>94</v>
      </c>
      <c r="H71" t="s">
        <v>58</v>
      </c>
      <c r="I71">
        <v>1</v>
      </c>
      <c r="J71">
        <v>1461.44</v>
      </c>
      <c r="K71">
        <v>1461.44</v>
      </c>
    </row>
    <row r="72" spans="1:11">
      <c r="A72" t="s">
        <v>179</v>
      </c>
      <c r="B72" s="1">
        <v>45847</v>
      </c>
      <c r="C72" t="s">
        <v>42</v>
      </c>
      <c r="D72" t="s">
        <v>86</v>
      </c>
      <c r="E72" t="s">
        <v>14</v>
      </c>
      <c r="F72" t="s">
        <v>80</v>
      </c>
      <c r="G72" t="s">
        <v>94</v>
      </c>
      <c r="H72" t="s">
        <v>1</v>
      </c>
      <c r="I72">
        <v>7</v>
      </c>
      <c r="J72">
        <v>728.37</v>
      </c>
      <c r="K72">
        <v>5098.59</v>
      </c>
    </row>
    <row r="73" spans="1:11">
      <c r="A73" t="s">
        <v>180</v>
      </c>
      <c r="B73" s="1">
        <v>46009</v>
      </c>
      <c r="C73" t="s">
        <v>42</v>
      </c>
      <c r="D73" t="s">
        <v>107</v>
      </c>
      <c r="E73" t="s">
        <v>10</v>
      </c>
      <c r="F73" t="s">
        <v>73</v>
      </c>
      <c r="G73" t="s">
        <v>78</v>
      </c>
      <c r="H73" t="s">
        <v>1</v>
      </c>
      <c r="I73">
        <v>2</v>
      </c>
      <c r="J73">
        <v>615.54</v>
      </c>
      <c r="K73">
        <v>1231.08</v>
      </c>
    </row>
    <row r="74" spans="1:11">
      <c r="A74" t="s">
        <v>181</v>
      </c>
      <c r="B74" s="1">
        <v>45808</v>
      </c>
      <c r="C74" t="s">
        <v>41</v>
      </c>
      <c r="D74" t="s">
        <v>96</v>
      </c>
      <c r="E74" t="s">
        <v>15</v>
      </c>
      <c r="F74" t="s">
        <v>114</v>
      </c>
      <c r="G74" t="s">
        <v>84</v>
      </c>
      <c r="H74" t="s">
        <v>58</v>
      </c>
      <c r="I74">
        <v>9</v>
      </c>
      <c r="J74">
        <v>92.6</v>
      </c>
      <c r="K74">
        <v>833.4</v>
      </c>
    </row>
    <row r="75" spans="1:11">
      <c r="A75" t="s">
        <v>182</v>
      </c>
      <c r="B75" s="1">
        <v>45828</v>
      </c>
      <c r="C75" t="s">
        <v>41</v>
      </c>
      <c r="D75" t="s">
        <v>147</v>
      </c>
      <c r="E75" t="s">
        <v>15</v>
      </c>
      <c r="F75" t="s">
        <v>114</v>
      </c>
      <c r="G75" t="s">
        <v>78</v>
      </c>
      <c r="H75" t="s">
        <v>1</v>
      </c>
      <c r="I75">
        <v>7</v>
      </c>
      <c r="J75">
        <v>86.7</v>
      </c>
      <c r="K75">
        <v>606.9</v>
      </c>
    </row>
    <row r="76" spans="1:11">
      <c r="A76" t="s">
        <v>183</v>
      </c>
      <c r="B76" s="1">
        <v>45852</v>
      </c>
      <c r="C76" t="s">
        <v>42</v>
      </c>
      <c r="D76" t="s">
        <v>122</v>
      </c>
      <c r="E76" t="s">
        <v>12</v>
      </c>
      <c r="F76" t="s">
        <v>97</v>
      </c>
      <c r="G76" t="s">
        <v>94</v>
      </c>
      <c r="H76" t="s">
        <v>1</v>
      </c>
      <c r="I76">
        <v>4</v>
      </c>
      <c r="J76">
        <v>503.54</v>
      </c>
      <c r="K76">
        <v>2014.16</v>
      </c>
    </row>
    <row r="77" spans="1:11">
      <c r="A77" t="s">
        <v>184</v>
      </c>
      <c r="B77" s="1">
        <v>45743</v>
      </c>
      <c r="C77" t="s">
        <v>41</v>
      </c>
      <c r="D77" t="s">
        <v>96</v>
      </c>
      <c r="E77" t="s">
        <v>12</v>
      </c>
      <c r="F77" t="s">
        <v>178</v>
      </c>
      <c r="G77" t="s">
        <v>78</v>
      </c>
      <c r="H77" t="s">
        <v>58</v>
      </c>
      <c r="I77">
        <v>4</v>
      </c>
      <c r="J77">
        <v>1519.74</v>
      </c>
      <c r="K77">
        <v>6078.96</v>
      </c>
    </row>
    <row r="78" spans="1:11">
      <c r="A78" t="s">
        <v>185</v>
      </c>
      <c r="B78" s="1">
        <v>45778</v>
      </c>
      <c r="C78" t="s">
        <v>42</v>
      </c>
      <c r="D78" t="s">
        <v>122</v>
      </c>
      <c r="E78" t="s">
        <v>13</v>
      </c>
      <c r="F78" t="s">
        <v>110</v>
      </c>
      <c r="G78" t="s">
        <v>99</v>
      </c>
      <c r="H78" t="s">
        <v>58</v>
      </c>
      <c r="I78">
        <v>9</v>
      </c>
      <c r="J78">
        <v>936.12</v>
      </c>
      <c r="K78">
        <v>8425.08</v>
      </c>
    </row>
    <row r="79" spans="1:11">
      <c r="A79" t="s">
        <v>186</v>
      </c>
      <c r="B79" s="1">
        <v>45899</v>
      </c>
      <c r="C79" t="s">
        <v>3</v>
      </c>
      <c r="D79" t="s">
        <v>101</v>
      </c>
      <c r="E79" t="s">
        <v>14</v>
      </c>
      <c r="F79" t="s">
        <v>80</v>
      </c>
      <c r="G79" t="s">
        <v>81</v>
      </c>
      <c r="H79" t="s">
        <v>58</v>
      </c>
      <c r="I79">
        <v>5</v>
      </c>
      <c r="J79">
        <v>665.21</v>
      </c>
      <c r="K79">
        <v>3326.05</v>
      </c>
    </row>
    <row r="80" spans="1:11">
      <c r="A80" t="s">
        <v>187</v>
      </c>
      <c r="B80" s="1">
        <v>45708</v>
      </c>
      <c r="C80" t="s">
        <v>41</v>
      </c>
      <c r="D80" t="s">
        <v>96</v>
      </c>
      <c r="E80" t="s">
        <v>12</v>
      </c>
      <c r="F80" t="s">
        <v>173</v>
      </c>
      <c r="G80" t="s">
        <v>135</v>
      </c>
      <c r="H80" t="s">
        <v>1</v>
      </c>
      <c r="I80">
        <v>7</v>
      </c>
      <c r="J80">
        <v>155.28</v>
      </c>
      <c r="K80">
        <v>1086.96</v>
      </c>
    </row>
    <row r="81" spans="1:11">
      <c r="A81" t="s">
        <v>188</v>
      </c>
      <c r="B81" s="1">
        <v>45929</v>
      </c>
      <c r="C81" t="s">
        <v>41</v>
      </c>
      <c r="D81" t="s">
        <v>76</v>
      </c>
      <c r="E81" t="s">
        <v>12</v>
      </c>
      <c r="F81" t="s">
        <v>97</v>
      </c>
      <c r="G81" t="s">
        <v>99</v>
      </c>
      <c r="H81" t="s">
        <v>58</v>
      </c>
      <c r="I81">
        <v>10</v>
      </c>
      <c r="J81">
        <v>479.73</v>
      </c>
      <c r="K81">
        <v>4797.3</v>
      </c>
    </row>
    <row r="82" spans="1:11">
      <c r="A82" t="s">
        <v>189</v>
      </c>
      <c r="B82" s="1">
        <v>45786</v>
      </c>
      <c r="C82" t="s">
        <v>42</v>
      </c>
      <c r="D82" t="s">
        <v>107</v>
      </c>
      <c r="E82" t="s">
        <v>15</v>
      </c>
      <c r="F82" t="s">
        <v>114</v>
      </c>
      <c r="G82" t="s">
        <v>74</v>
      </c>
      <c r="H82" t="s">
        <v>58</v>
      </c>
      <c r="I82">
        <v>8</v>
      </c>
      <c r="J82">
        <v>94.21</v>
      </c>
      <c r="K82">
        <v>753.68</v>
      </c>
    </row>
    <row r="83" spans="1:11">
      <c r="A83" t="s">
        <v>190</v>
      </c>
      <c r="B83" s="1">
        <v>45716</v>
      </c>
      <c r="C83" t="s">
        <v>41</v>
      </c>
      <c r="D83" t="s">
        <v>76</v>
      </c>
      <c r="E83" t="s">
        <v>15</v>
      </c>
      <c r="F83" t="s">
        <v>132</v>
      </c>
      <c r="G83" t="s">
        <v>78</v>
      </c>
      <c r="H83" t="s">
        <v>1</v>
      </c>
      <c r="I83">
        <v>6</v>
      </c>
      <c r="J83">
        <v>119.58</v>
      </c>
      <c r="K83">
        <v>717.48</v>
      </c>
    </row>
    <row r="84" spans="1:11">
      <c r="A84" t="s">
        <v>191</v>
      </c>
      <c r="B84" s="1">
        <v>45704</v>
      </c>
      <c r="C84" t="s">
        <v>42</v>
      </c>
      <c r="D84" t="s">
        <v>122</v>
      </c>
      <c r="E84" t="s">
        <v>14</v>
      </c>
      <c r="F84" t="s">
        <v>93</v>
      </c>
      <c r="G84" t="s">
        <v>135</v>
      </c>
      <c r="H84" t="s">
        <v>58</v>
      </c>
      <c r="I84">
        <v>9</v>
      </c>
      <c r="J84">
        <v>1488.96</v>
      </c>
      <c r="K84">
        <v>13400.64</v>
      </c>
    </row>
    <row r="85" spans="1:11">
      <c r="A85" t="s">
        <v>192</v>
      </c>
      <c r="B85" s="1">
        <v>45713</v>
      </c>
      <c r="C85" t="s">
        <v>3</v>
      </c>
      <c r="D85" t="s">
        <v>89</v>
      </c>
      <c r="E85" t="s">
        <v>14</v>
      </c>
      <c r="F85" t="s">
        <v>93</v>
      </c>
      <c r="G85" t="s">
        <v>81</v>
      </c>
      <c r="H85" t="s">
        <v>1</v>
      </c>
      <c r="I85">
        <v>3</v>
      </c>
      <c r="J85">
        <v>1507.14</v>
      </c>
      <c r="K85">
        <v>4521.42</v>
      </c>
    </row>
    <row r="86" spans="1:11">
      <c r="A86" t="s">
        <v>193</v>
      </c>
      <c r="B86" s="1">
        <v>45928</v>
      </c>
      <c r="C86" t="s">
        <v>41</v>
      </c>
      <c r="D86" t="s">
        <v>147</v>
      </c>
      <c r="E86" t="s">
        <v>12</v>
      </c>
      <c r="F86" t="s">
        <v>178</v>
      </c>
      <c r="G86" t="s">
        <v>120</v>
      </c>
      <c r="H86" t="s">
        <v>1</v>
      </c>
      <c r="I86">
        <v>3</v>
      </c>
      <c r="J86">
        <v>1473.14</v>
      </c>
      <c r="K86">
        <v>4419.42</v>
      </c>
    </row>
    <row r="87" spans="1:11">
      <c r="A87" t="s">
        <v>194</v>
      </c>
      <c r="B87" s="1">
        <v>45966</v>
      </c>
      <c r="C87" t="s">
        <v>24</v>
      </c>
      <c r="D87" t="s">
        <v>72</v>
      </c>
      <c r="E87" t="s">
        <v>11</v>
      </c>
      <c r="F87" t="s">
        <v>90</v>
      </c>
      <c r="G87" t="s">
        <v>94</v>
      </c>
      <c r="H87" t="s">
        <v>58</v>
      </c>
      <c r="I87">
        <v>6</v>
      </c>
      <c r="J87">
        <v>208.32</v>
      </c>
      <c r="K87">
        <v>1249.92</v>
      </c>
    </row>
    <row r="88" spans="1:11">
      <c r="A88" t="s">
        <v>195</v>
      </c>
      <c r="B88" s="1">
        <v>45710</v>
      </c>
      <c r="C88" t="s">
        <v>41</v>
      </c>
      <c r="D88" t="s">
        <v>147</v>
      </c>
      <c r="E88" t="s">
        <v>12</v>
      </c>
      <c r="F88" t="s">
        <v>173</v>
      </c>
      <c r="G88" t="s">
        <v>94</v>
      </c>
      <c r="H88" t="s">
        <v>1</v>
      </c>
      <c r="I88">
        <v>6</v>
      </c>
      <c r="J88">
        <v>142.63999999999999</v>
      </c>
      <c r="K88">
        <v>855.84</v>
      </c>
    </row>
    <row r="89" spans="1:11">
      <c r="A89" t="s">
        <v>196</v>
      </c>
      <c r="B89" s="1">
        <v>45822</v>
      </c>
      <c r="C89" t="s">
        <v>3</v>
      </c>
      <c r="D89" t="s">
        <v>101</v>
      </c>
      <c r="E89" t="s">
        <v>14</v>
      </c>
      <c r="F89" t="s">
        <v>93</v>
      </c>
      <c r="G89" t="s">
        <v>78</v>
      </c>
      <c r="H89" t="s">
        <v>1</v>
      </c>
      <c r="I89">
        <v>9</v>
      </c>
      <c r="J89">
        <v>1555.31</v>
      </c>
      <c r="K89">
        <v>13997.79</v>
      </c>
    </row>
    <row r="90" spans="1:11">
      <c r="A90" t="s">
        <v>197</v>
      </c>
      <c r="B90" s="1">
        <v>45679</v>
      </c>
      <c r="C90" t="s">
        <v>3</v>
      </c>
      <c r="D90" t="s">
        <v>92</v>
      </c>
      <c r="E90" t="s">
        <v>10</v>
      </c>
      <c r="F90" t="s">
        <v>142</v>
      </c>
      <c r="G90" t="s">
        <v>135</v>
      </c>
      <c r="H90" t="s">
        <v>1</v>
      </c>
      <c r="I90">
        <v>2</v>
      </c>
      <c r="J90">
        <v>1268.06</v>
      </c>
      <c r="K90">
        <v>2536.12</v>
      </c>
    </row>
    <row r="91" spans="1:11">
      <c r="A91" t="s">
        <v>198</v>
      </c>
      <c r="B91" s="1">
        <v>45908</v>
      </c>
      <c r="C91" t="s">
        <v>3</v>
      </c>
      <c r="D91" t="s">
        <v>92</v>
      </c>
      <c r="E91" t="s">
        <v>11</v>
      </c>
      <c r="F91" t="s">
        <v>129</v>
      </c>
      <c r="G91" t="s">
        <v>81</v>
      </c>
      <c r="H91" t="s">
        <v>1</v>
      </c>
      <c r="I91">
        <v>8</v>
      </c>
      <c r="J91">
        <v>295.43</v>
      </c>
      <c r="K91">
        <v>2363.44</v>
      </c>
    </row>
    <row r="92" spans="1:11">
      <c r="A92" t="s">
        <v>199</v>
      </c>
      <c r="B92" s="1">
        <v>45996</v>
      </c>
      <c r="C92" t="s">
        <v>3</v>
      </c>
      <c r="D92" t="s">
        <v>101</v>
      </c>
      <c r="E92" t="s">
        <v>11</v>
      </c>
      <c r="F92" t="s">
        <v>90</v>
      </c>
      <c r="G92" t="s">
        <v>99</v>
      </c>
      <c r="H92" t="s">
        <v>1</v>
      </c>
      <c r="I92">
        <v>8</v>
      </c>
      <c r="J92">
        <v>207.44</v>
      </c>
      <c r="K92">
        <v>1659.52</v>
      </c>
    </row>
    <row r="93" spans="1:11">
      <c r="A93" t="s">
        <v>200</v>
      </c>
      <c r="B93" s="1">
        <v>45934</v>
      </c>
      <c r="C93" t="s">
        <v>24</v>
      </c>
      <c r="D93" t="s">
        <v>83</v>
      </c>
      <c r="E93" t="s">
        <v>10</v>
      </c>
      <c r="F93" t="s">
        <v>119</v>
      </c>
      <c r="G93" t="s">
        <v>99</v>
      </c>
      <c r="H93" t="s">
        <v>58</v>
      </c>
      <c r="I93">
        <v>8</v>
      </c>
      <c r="J93">
        <v>943.08</v>
      </c>
      <c r="K93">
        <v>7544.64</v>
      </c>
    </row>
    <row r="94" spans="1:11">
      <c r="A94" t="s">
        <v>201</v>
      </c>
      <c r="B94" s="1">
        <v>45883</v>
      </c>
      <c r="C94" t="s">
        <v>41</v>
      </c>
      <c r="D94" t="s">
        <v>96</v>
      </c>
      <c r="E94" t="s">
        <v>11</v>
      </c>
      <c r="F94" t="s">
        <v>129</v>
      </c>
      <c r="G94" t="s">
        <v>135</v>
      </c>
      <c r="H94" t="s">
        <v>1</v>
      </c>
      <c r="I94">
        <v>10</v>
      </c>
      <c r="J94">
        <v>298.2</v>
      </c>
      <c r="K94">
        <v>2982</v>
      </c>
    </row>
    <row r="95" spans="1:11">
      <c r="A95" t="s">
        <v>202</v>
      </c>
      <c r="B95" s="1">
        <v>45776</v>
      </c>
      <c r="C95" t="s">
        <v>24</v>
      </c>
      <c r="D95" t="s">
        <v>83</v>
      </c>
      <c r="E95" t="s">
        <v>10</v>
      </c>
      <c r="F95" t="s">
        <v>142</v>
      </c>
      <c r="G95" t="s">
        <v>120</v>
      </c>
      <c r="H95" t="s">
        <v>1</v>
      </c>
      <c r="I95">
        <v>2</v>
      </c>
      <c r="J95">
        <v>1335.01</v>
      </c>
      <c r="K95">
        <v>2670.02</v>
      </c>
    </row>
    <row r="96" spans="1:11">
      <c r="A96" t="s">
        <v>203</v>
      </c>
      <c r="B96" s="1">
        <v>45805</v>
      </c>
      <c r="C96" t="s">
        <v>42</v>
      </c>
      <c r="D96" t="s">
        <v>122</v>
      </c>
      <c r="E96" t="s">
        <v>14</v>
      </c>
      <c r="F96" t="s">
        <v>93</v>
      </c>
      <c r="G96" t="s">
        <v>94</v>
      </c>
      <c r="H96" t="s">
        <v>1</v>
      </c>
      <c r="I96">
        <v>8</v>
      </c>
      <c r="J96">
        <v>1448.64</v>
      </c>
      <c r="K96">
        <v>11589.12</v>
      </c>
    </row>
    <row r="97" spans="1:11">
      <c r="A97" t="s">
        <v>204</v>
      </c>
      <c r="B97" s="1">
        <v>45749</v>
      </c>
      <c r="C97" t="s">
        <v>41</v>
      </c>
      <c r="D97" t="s">
        <v>76</v>
      </c>
      <c r="E97" t="s">
        <v>15</v>
      </c>
      <c r="F97" t="s">
        <v>132</v>
      </c>
      <c r="G97" t="s">
        <v>99</v>
      </c>
      <c r="H97" t="s">
        <v>58</v>
      </c>
      <c r="I97">
        <v>7</v>
      </c>
      <c r="J97">
        <v>117.97</v>
      </c>
      <c r="K97">
        <v>825.79</v>
      </c>
    </row>
    <row r="98" spans="1:11">
      <c r="A98" t="s">
        <v>205</v>
      </c>
      <c r="B98" s="1">
        <v>45975</v>
      </c>
      <c r="C98" t="s">
        <v>24</v>
      </c>
      <c r="D98" t="s">
        <v>72</v>
      </c>
      <c r="E98" t="s">
        <v>11</v>
      </c>
      <c r="F98" t="s">
        <v>129</v>
      </c>
      <c r="G98" t="s">
        <v>99</v>
      </c>
      <c r="H98" t="s">
        <v>58</v>
      </c>
      <c r="I98">
        <v>1</v>
      </c>
      <c r="J98">
        <v>303.45</v>
      </c>
      <c r="K98">
        <v>303.45</v>
      </c>
    </row>
    <row r="99" spans="1:11">
      <c r="A99" t="s">
        <v>206</v>
      </c>
      <c r="B99" s="1">
        <v>45958</v>
      </c>
      <c r="C99" t="s">
        <v>24</v>
      </c>
      <c r="D99" t="s">
        <v>72</v>
      </c>
      <c r="E99" t="s">
        <v>14</v>
      </c>
      <c r="F99" t="s">
        <v>77</v>
      </c>
      <c r="G99" t="s">
        <v>99</v>
      </c>
      <c r="H99" t="s">
        <v>58</v>
      </c>
      <c r="I99">
        <v>5</v>
      </c>
      <c r="J99">
        <v>2000.83</v>
      </c>
      <c r="K99">
        <v>10004.15</v>
      </c>
    </row>
    <row r="100" spans="1:11">
      <c r="A100" t="s">
        <v>207</v>
      </c>
      <c r="B100" s="1">
        <v>45778</v>
      </c>
      <c r="C100" t="s">
        <v>42</v>
      </c>
      <c r="D100" t="s">
        <v>86</v>
      </c>
      <c r="E100" t="s">
        <v>11</v>
      </c>
      <c r="F100" t="s">
        <v>90</v>
      </c>
      <c r="G100" t="s">
        <v>78</v>
      </c>
      <c r="H100" t="s">
        <v>1</v>
      </c>
      <c r="I100">
        <v>7</v>
      </c>
      <c r="J100">
        <v>205.03</v>
      </c>
      <c r="K100">
        <v>1435.21</v>
      </c>
    </row>
    <row r="101" spans="1:11">
      <c r="A101" t="s">
        <v>208</v>
      </c>
      <c r="B101" s="1">
        <v>46011</v>
      </c>
      <c r="C101" t="s">
        <v>3</v>
      </c>
      <c r="D101" t="s">
        <v>89</v>
      </c>
      <c r="E101" t="s">
        <v>11</v>
      </c>
      <c r="F101" t="s">
        <v>90</v>
      </c>
      <c r="G101" t="s">
        <v>84</v>
      </c>
      <c r="H101" t="s">
        <v>1</v>
      </c>
      <c r="I101">
        <v>1</v>
      </c>
      <c r="J101">
        <v>208.85</v>
      </c>
      <c r="K101">
        <v>208.85</v>
      </c>
    </row>
    <row r="102" spans="1:11">
      <c r="A102" t="s">
        <v>209</v>
      </c>
      <c r="B102" s="1">
        <v>45891</v>
      </c>
      <c r="C102" t="s">
        <v>41</v>
      </c>
      <c r="D102" t="s">
        <v>76</v>
      </c>
      <c r="E102" t="s">
        <v>11</v>
      </c>
      <c r="F102" t="s">
        <v>129</v>
      </c>
      <c r="G102" t="s">
        <v>74</v>
      </c>
      <c r="H102" t="s">
        <v>58</v>
      </c>
      <c r="I102">
        <v>1</v>
      </c>
      <c r="J102">
        <v>289.52</v>
      </c>
      <c r="K102">
        <v>289.52</v>
      </c>
    </row>
    <row r="103" spans="1:11">
      <c r="A103" t="s">
        <v>210</v>
      </c>
      <c r="B103" s="1">
        <v>45968</v>
      </c>
      <c r="C103" t="s">
        <v>24</v>
      </c>
      <c r="D103" t="s">
        <v>83</v>
      </c>
      <c r="E103" t="s">
        <v>12</v>
      </c>
      <c r="F103" t="s">
        <v>173</v>
      </c>
      <c r="G103" t="s">
        <v>120</v>
      </c>
      <c r="H103" t="s">
        <v>58</v>
      </c>
      <c r="I103">
        <v>9</v>
      </c>
      <c r="J103">
        <v>143.66</v>
      </c>
      <c r="K103">
        <v>1292.94</v>
      </c>
    </row>
    <row r="104" spans="1:11">
      <c r="A104" t="s">
        <v>211</v>
      </c>
      <c r="B104" s="1">
        <v>45822</v>
      </c>
      <c r="C104" t="s">
        <v>24</v>
      </c>
      <c r="D104" t="s">
        <v>72</v>
      </c>
      <c r="E104" t="s">
        <v>11</v>
      </c>
      <c r="F104" t="s">
        <v>129</v>
      </c>
      <c r="G104" t="s">
        <v>99</v>
      </c>
      <c r="H104" t="s">
        <v>1</v>
      </c>
      <c r="I104">
        <v>5</v>
      </c>
      <c r="J104">
        <v>310.66000000000003</v>
      </c>
      <c r="K104">
        <v>1553.3</v>
      </c>
    </row>
    <row r="105" spans="1:11">
      <c r="A105" t="s">
        <v>212</v>
      </c>
      <c r="B105" s="1">
        <v>45700</v>
      </c>
      <c r="C105" t="s">
        <v>24</v>
      </c>
      <c r="D105" t="s">
        <v>83</v>
      </c>
      <c r="E105" t="s">
        <v>14</v>
      </c>
      <c r="F105" t="s">
        <v>77</v>
      </c>
      <c r="G105" t="s">
        <v>74</v>
      </c>
      <c r="H105" t="s">
        <v>58</v>
      </c>
      <c r="I105">
        <v>2</v>
      </c>
      <c r="J105">
        <v>2085.5500000000002</v>
      </c>
      <c r="K105">
        <v>4171.1000000000004</v>
      </c>
    </row>
    <row r="106" spans="1:11">
      <c r="A106" t="s">
        <v>213</v>
      </c>
      <c r="B106" s="1">
        <v>45665</v>
      </c>
      <c r="C106" t="s">
        <v>3</v>
      </c>
      <c r="D106" t="s">
        <v>101</v>
      </c>
      <c r="E106" t="s">
        <v>12</v>
      </c>
      <c r="F106" t="s">
        <v>160</v>
      </c>
      <c r="G106" t="s">
        <v>94</v>
      </c>
      <c r="H106" t="s">
        <v>58</v>
      </c>
      <c r="I106">
        <v>8</v>
      </c>
      <c r="J106">
        <v>1791.66</v>
      </c>
      <c r="K106">
        <v>14333.28</v>
      </c>
    </row>
    <row r="107" spans="1:11">
      <c r="A107" t="s">
        <v>214</v>
      </c>
      <c r="B107" s="1">
        <v>45707</v>
      </c>
      <c r="C107" t="s">
        <v>24</v>
      </c>
      <c r="D107" t="s">
        <v>83</v>
      </c>
      <c r="E107" t="s">
        <v>15</v>
      </c>
      <c r="F107" t="s">
        <v>102</v>
      </c>
      <c r="G107" t="s">
        <v>84</v>
      </c>
      <c r="H107" t="s">
        <v>58</v>
      </c>
      <c r="I107">
        <v>3</v>
      </c>
      <c r="J107">
        <v>146.72</v>
      </c>
      <c r="K107">
        <v>440.16</v>
      </c>
    </row>
    <row r="108" spans="1:11">
      <c r="A108" t="s">
        <v>215</v>
      </c>
      <c r="B108" s="1">
        <v>45991</v>
      </c>
      <c r="C108" t="s">
        <v>3</v>
      </c>
      <c r="D108" t="s">
        <v>101</v>
      </c>
      <c r="E108" t="s">
        <v>10</v>
      </c>
      <c r="F108" t="s">
        <v>119</v>
      </c>
      <c r="G108" t="s">
        <v>94</v>
      </c>
      <c r="H108" t="s">
        <v>1</v>
      </c>
      <c r="I108">
        <v>6</v>
      </c>
      <c r="J108">
        <v>889.61</v>
      </c>
      <c r="K108">
        <v>5337.66</v>
      </c>
    </row>
    <row r="109" spans="1:11">
      <c r="A109" t="s">
        <v>216</v>
      </c>
      <c r="B109" s="1">
        <v>46004</v>
      </c>
      <c r="C109" t="s">
        <v>42</v>
      </c>
      <c r="D109" t="s">
        <v>122</v>
      </c>
      <c r="E109" t="s">
        <v>14</v>
      </c>
      <c r="F109" t="s">
        <v>80</v>
      </c>
      <c r="G109" t="s">
        <v>81</v>
      </c>
      <c r="H109" t="s">
        <v>58</v>
      </c>
      <c r="I109">
        <v>10</v>
      </c>
      <c r="J109">
        <v>686.02</v>
      </c>
      <c r="K109">
        <v>6860.2</v>
      </c>
    </row>
    <row r="110" spans="1:11">
      <c r="A110" t="s">
        <v>217</v>
      </c>
      <c r="B110" s="1">
        <v>45975</v>
      </c>
      <c r="C110" t="s">
        <v>24</v>
      </c>
      <c r="D110" t="s">
        <v>72</v>
      </c>
      <c r="E110" t="s">
        <v>13</v>
      </c>
      <c r="F110" t="s">
        <v>123</v>
      </c>
      <c r="G110" t="s">
        <v>78</v>
      </c>
      <c r="H110" t="s">
        <v>1</v>
      </c>
      <c r="I110">
        <v>3</v>
      </c>
      <c r="J110">
        <v>1207.17</v>
      </c>
      <c r="K110">
        <v>3621.51</v>
      </c>
    </row>
    <row r="111" spans="1:11">
      <c r="A111" t="s">
        <v>218</v>
      </c>
      <c r="B111" s="1">
        <v>45761</v>
      </c>
      <c r="C111" t="s">
        <v>41</v>
      </c>
      <c r="D111" t="s">
        <v>147</v>
      </c>
      <c r="E111" t="s">
        <v>10</v>
      </c>
      <c r="F111" t="s">
        <v>73</v>
      </c>
      <c r="G111" t="s">
        <v>81</v>
      </c>
      <c r="H111" t="s">
        <v>1</v>
      </c>
      <c r="I111">
        <v>1</v>
      </c>
      <c r="J111">
        <v>611.67999999999995</v>
      </c>
      <c r="K111">
        <v>611.67999999999995</v>
      </c>
    </row>
    <row r="112" spans="1:11">
      <c r="A112" t="s">
        <v>219</v>
      </c>
      <c r="B112" s="1">
        <v>45806</v>
      </c>
      <c r="C112" t="s">
        <v>24</v>
      </c>
      <c r="D112" t="s">
        <v>83</v>
      </c>
      <c r="E112" t="s">
        <v>15</v>
      </c>
      <c r="F112" t="s">
        <v>114</v>
      </c>
      <c r="G112" t="s">
        <v>84</v>
      </c>
      <c r="H112" t="s">
        <v>1</v>
      </c>
      <c r="I112">
        <v>3</v>
      </c>
      <c r="J112">
        <v>87.7</v>
      </c>
      <c r="K112">
        <v>263.10000000000002</v>
      </c>
    </row>
    <row r="113" spans="1:11">
      <c r="A113" t="s">
        <v>220</v>
      </c>
      <c r="B113" s="1">
        <v>45708</v>
      </c>
      <c r="C113" t="s">
        <v>42</v>
      </c>
      <c r="D113" t="s">
        <v>107</v>
      </c>
      <c r="E113" t="s">
        <v>10</v>
      </c>
      <c r="F113" t="s">
        <v>119</v>
      </c>
      <c r="G113" t="s">
        <v>81</v>
      </c>
      <c r="H113" t="s">
        <v>1</v>
      </c>
      <c r="I113">
        <v>1</v>
      </c>
      <c r="J113">
        <v>908.46</v>
      </c>
      <c r="K113">
        <v>908.46</v>
      </c>
    </row>
    <row r="114" spans="1:11">
      <c r="A114" t="s">
        <v>221</v>
      </c>
      <c r="B114" s="1">
        <v>45781</v>
      </c>
      <c r="C114" t="s">
        <v>41</v>
      </c>
      <c r="D114" t="s">
        <v>147</v>
      </c>
      <c r="E114" t="s">
        <v>12</v>
      </c>
      <c r="F114" t="s">
        <v>173</v>
      </c>
      <c r="G114" t="s">
        <v>81</v>
      </c>
      <c r="H114" t="s">
        <v>58</v>
      </c>
      <c r="I114">
        <v>4</v>
      </c>
      <c r="J114">
        <v>149.77000000000001</v>
      </c>
      <c r="K114">
        <v>599.08000000000004</v>
      </c>
    </row>
    <row r="115" spans="1:11">
      <c r="A115" t="s">
        <v>222</v>
      </c>
      <c r="B115" s="1">
        <v>45840</v>
      </c>
      <c r="C115" t="s">
        <v>3</v>
      </c>
      <c r="D115" t="s">
        <v>89</v>
      </c>
      <c r="E115" t="s">
        <v>11</v>
      </c>
      <c r="F115" t="s">
        <v>112</v>
      </c>
      <c r="G115" t="s">
        <v>74</v>
      </c>
      <c r="H115" t="s">
        <v>1</v>
      </c>
      <c r="I115">
        <v>5</v>
      </c>
      <c r="J115">
        <v>346.92</v>
      </c>
      <c r="K115">
        <v>1734.6</v>
      </c>
    </row>
    <row r="116" spans="1:11">
      <c r="A116" t="s">
        <v>223</v>
      </c>
      <c r="B116" s="1">
        <v>45662</v>
      </c>
      <c r="C116" t="s">
        <v>24</v>
      </c>
      <c r="D116" t="s">
        <v>72</v>
      </c>
      <c r="E116" t="s">
        <v>15</v>
      </c>
      <c r="F116" t="s">
        <v>114</v>
      </c>
      <c r="G116" t="s">
        <v>135</v>
      </c>
      <c r="H116" t="s">
        <v>58</v>
      </c>
      <c r="I116">
        <v>7</v>
      </c>
      <c r="J116">
        <v>85.89</v>
      </c>
      <c r="K116">
        <v>601.23</v>
      </c>
    </row>
    <row r="117" spans="1:11">
      <c r="A117" t="s">
        <v>224</v>
      </c>
      <c r="B117" s="1">
        <v>45918</v>
      </c>
      <c r="C117" t="s">
        <v>3</v>
      </c>
      <c r="D117" t="s">
        <v>89</v>
      </c>
      <c r="E117" t="s">
        <v>13</v>
      </c>
      <c r="F117" t="s">
        <v>87</v>
      </c>
      <c r="G117" t="s">
        <v>78</v>
      </c>
      <c r="H117" t="s">
        <v>58</v>
      </c>
      <c r="I117">
        <v>1</v>
      </c>
      <c r="J117">
        <v>746.45</v>
      </c>
      <c r="K117">
        <v>746.45</v>
      </c>
    </row>
    <row r="118" spans="1:11">
      <c r="A118" t="s">
        <v>225</v>
      </c>
      <c r="B118" s="1">
        <v>45673</v>
      </c>
      <c r="C118" t="s">
        <v>3</v>
      </c>
      <c r="D118" t="s">
        <v>101</v>
      </c>
      <c r="E118" t="s">
        <v>10</v>
      </c>
      <c r="F118" t="s">
        <v>142</v>
      </c>
      <c r="G118" t="s">
        <v>78</v>
      </c>
      <c r="H118" t="s">
        <v>1</v>
      </c>
      <c r="I118">
        <v>4</v>
      </c>
      <c r="J118">
        <v>1296.2</v>
      </c>
      <c r="K118">
        <v>5184.8</v>
      </c>
    </row>
    <row r="119" spans="1:11">
      <c r="A119" t="s">
        <v>226</v>
      </c>
      <c r="B119" s="1">
        <v>45744</v>
      </c>
      <c r="C119" t="s">
        <v>3</v>
      </c>
      <c r="D119" t="s">
        <v>92</v>
      </c>
      <c r="E119" t="s">
        <v>10</v>
      </c>
      <c r="F119" t="s">
        <v>142</v>
      </c>
      <c r="G119" t="s">
        <v>94</v>
      </c>
      <c r="H119" t="s">
        <v>58</v>
      </c>
      <c r="I119">
        <v>8</v>
      </c>
      <c r="J119">
        <v>1312.59</v>
      </c>
      <c r="K119">
        <v>10500.72</v>
      </c>
    </row>
    <row r="120" spans="1:11">
      <c r="A120" t="s">
        <v>227</v>
      </c>
      <c r="B120" s="1">
        <v>45674</v>
      </c>
      <c r="C120" t="s">
        <v>3</v>
      </c>
      <c r="D120" t="s">
        <v>101</v>
      </c>
      <c r="E120" t="s">
        <v>14</v>
      </c>
      <c r="F120" t="s">
        <v>93</v>
      </c>
      <c r="G120" t="s">
        <v>74</v>
      </c>
      <c r="H120" t="s">
        <v>58</v>
      </c>
      <c r="I120">
        <v>6</v>
      </c>
      <c r="J120">
        <v>1520.96</v>
      </c>
      <c r="K120">
        <v>9125.76</v>
      </c>
    </row>
    <row r="121" spans="1:11">
      <c r="A121" t="s">
        <v>228</v>
      </c>
      <c r="B121" s="1">
        <v>45917</v>
      </c>
      <c r="C121" t="s">
        <v>41</v>
      </c>
      <c r="D121" t="s">
        <v>147</v>
      </c>
      <c r="E121" t="s">
        <v>13</v>
      </c>
      <c r="F121" t="s">
        <v>87</v>
      </c>
      <c r="G121" t="s">
        <v>78</v>
      </c>
      <c r="H121" t="s">
        <v>1</v>
      </c>
      <c r="I121">
        <v>4</v>
      </c>
      <c r="J121">
        <v>760.33</v>
      </c>
      <c r="K121">
        <v>3041.32</v>
      </c>
    </row>
    <row r="122" spans="1:11">
      <c r="A122" t="s">
        <v>229</v>
      </c>
      <c r="B122" s="1">
        <v>45750</v>
      </c>
      <c r="C122" t="s">
        <v>42</v>
      </c>
      <c r="D122" t="s">
        <v>86</v>
      </c>
      <c r="E122" t="s">
        <v>15</v>
      </c>
      <c r="F122" t="s">
        <v>114</v>
      </c>
      <c r="G122" t="s">
        <v>99</v>
      </c>
      <c r="H122" t="s">
        <v>58</v>
      </c>
      <c r="I122">
        <v>1</v>
      </c>
      <c r="J122">
        <v>92.97</v>
      </c>
      <c r="K122">
        <v>92.97</v>
      </c>
    </row>
    <row r="123" spans="1:11">
      <c r="A123" t="s">
        <v>230</v>
      </c>
      <c r="B123" s="1">
        <v>45966</v>
      </c>
      <c r="C123" t="s">
        <v>3</v>
      </c>
      <c r="D123" t="s">
        <v>101</v>
      </c>
      <c r="E123" t="s">
        <v>12</v>
      </c>
      <c r="F123" t="s">
        <v>178</v>
      </c>
      <c r="G123" t="s">
        <v>74</v>
      </c>
      <c r="H123" t="s">
        <v>1</v>
      </c>
      <c r="I123">
        <v>7</v>
      </c>
      <c r="J123">
        <v>1536.31</v>
      </c>
      <c r="K123">
        <v>10754.17</v>
      </c>
    </row>
    <row r="124" spans="1:11">
      <c r="A124" t="s">
        <v>231</v>
      </c>
      <c r="B124" s="1">
        <v>46018</v>
      </c>
      <c r="C124" t="s">
        <v>24</v>
      </c>
      <c r="D124" t="s">
        <v>83</v>
      </c>
      <c r="E124" t="s">
        <v>15</v>
      </c>
      <c r="F124" t="s">
        <v>102</v>
      </c>
      <c r="G124" t="s">
        <v>99</v>
      </c>
      <c r="H124" t="s">
        <v>58</v>
      </c>
      <c r="I124">
        <v>7</v>
      </c>
      <c r="J124">
        <v>146.27000000000001</v>
      </c>
      <c r="K124">
        <v>1023.89</v>
      </c>
    </row>
    <row r="125" spans="1:11">
      <c r="A125" t="s">
        <v>232</v>
      </c>
      <c r="B125" s="1">
        <v>45864</v>
      </c>
      <c r="C125" t="s">
        <v>3</v>
      </c>
      <c r="D125" t="s">
        <v>92</v>
      </c>
      <c r="E125" t="s">
        <v>11</v>
      </c>
      <c r="F125" t="s">
        <v>90</v>
      </c>
      <c r="G125" t="s">
        <v>74</v>
      </c>
      <c r="H125" t="s">
        <v>1</v>
      </c>
      <c r="I125">
        <v>7</v>
      </c>
      <c r="J125">
        <v>194.33</v>
      </c>
      <c r="K125">
        <v>1360.31</v>
      </c>
    </row>
    <row r="126" spans="1:11">
      <c r="A126" t="s">
        <v>233</v>
      </c>
      <c r="B126" s="1">
        <v>45973</v>
      </c>
      <c r="C126" t="s">
        <v>3</v>
      </c>
      <c r="D126" t="s">
        <v>92</v>
      </c>
      <c r="E126" t="s">
        <v>13</v>
      </c>
      <c r="F126" t="s">
        <v>123</v>
      </c>
      <c r="G126" t="s">
        <v>135</v>
      </c>
      <c r="H126" t="s">
        <v>58</v>
      </c>
      <c r="I126">
        <v>7</v>
      </c>
      <c r="J126">
        <v>1258.24</v>
      </c>
      <c r="K126">
        <v>8807.68</v>
      </c>
    </row>
    <row r="127" spans="1:11">
      <c r="A127" t="s">
        <v>234</v>
      </c>
      <c r="B127" s="1">
        <v>45887</v>
      </c>
      <c r="C127" t="s">
        <v>3</v>
      </c>
      <c r="D127" t="s">
        <v>92</v>
      </c>
      <c r="E127" t="s">
        <v>14</v>
      </c>
      <c r="F127" t="s">
        <v>93</v>
      </c>
      <c r="G127" t="s">
        <v>99</v>
      </c>
      <c r="H127" t="s">
        <v>58</v>
      </c>
      <c r="I127">
        <v>6</v>
      </c>
      <c r="J127">
        <v>1545.35</v>
      </c>
      <c r="K127">
        <v>9272.1</v>
      </c>
    </row>
    <row r="128" spans="1:11">
      <c r="A128" t="s">
        <v>235</v>
      </c>
      <c r="B128" s="1">
        <v>45659</v>
      </c>
      <c r="C128" t="s">
        <v>42</v>
      </c>
      <c r="D128" t="s">
        <v>86</v>
      </c>
      <c r="E128" t="s">
        <v>15</v>
      </c>
      <c r="F128" t="s">
        <v>132</v>
      </c>
      <c r="G128" t="s">
        <v>78</v>
      </c>
      <c r="H128" t="s">
        <v>58</v>
      </c>
      <c r="I128">
        <v>7</v>
      </c>
      <c r="J128">
        <v>123.69</v>
      </c>
      <c r="K128">
        <v>865.83</v>
      </c>
    </row>
    <row r="129" spans="1:11">
      <c r="A129" t="s">
        <v>236</v>
      </c>
      <c r="B129" s="1">
        <v>45663</v>
      </c>
      <c r="C129" t="s">
        <v>24</v>
      </c>
      <c r="D129" t="s">
        <v>72</v>
      </c>
      <c r="E129" t="s">
        <v>15</v>
      </c>
      <c r="F129" t="s">
        <v>114</v>
      </c>
      <c r="G129" t="s">
        <v>120</v>
      </c>
      <c r="H129" t="s">
        <v>58</v>
      </c>
      <c r="I129">
        <v>5</v>
      </c>
      <c r="J129">
        <v>88.87</v>
      </c>
      <c r="K129">
        <v>444.35</v>
      </c>
    </row>
    <row r="130" spans="1:11">
      <c r="A130" t="s">
        <v>237</v>
      </c>
      <c r="B130" s="1">
        <v>45659</v>
      </c>
      <c r="C130" t="s">
        <v>3</v>
      </c>
      <c r="D130" t="s">
        <v>89</v>
      </c>
      <c r="E130" t="s">
        <v>14</v>
      </c>
      <c r="F130" t="s">
        <v>93</v>
      </c>
      <c r="G130" t="s">
        <v>74</v>
      </c>
      <c r="H130" t="s">
        <v>58</v>
      </c>
      <c r="I130">
        <v>3</v>
      </c>
      <c r="J130">
        <v>1428.11</v>
      </c>
      <c r="K130">
        <v>4284.33</v>
      </c>
    </row>
    <row r="131" spans="1:11">
      <c r="A131" t="s">
        <v>238</v>
      </c>
      <c r="B131" s="1">
        <v>45847</v>
      </c>
      <c r="C131" t="s">
        <v>24</v>
      </c>
      <c r="D131" t="s">
        <v>72</v>
      </c>
      <c r="E131" t="s">
        <v>11</v>
      </c>
      <c r="F131" t="s">
        <v>129</v>
      </c>
      <c r="G131" t="s">
        <v>74</v>
      </c>
      <c r="H131" t="s">
        <v>1</v>
      </c>
      <c r="I131">
        <v>9</v>
      </c>
      <c r="J131">
        <v>293.18</v>
      </c>
      <c r="K131">
        <v>2638.62</v>
      </c>
    </row>
    <row r="132" spans="1:11">
      <c r="A132" t="s">
        <v>239</v>
      </c>
      <c r="B132" s="1">
        <v>45854</v>
      </c>
      <c r="C132" t="s">
        <v>24</v>
      </c>
      <c r="D132" t="s">
        <v>83</v>
      </c>
      <c r="E132" t="s">
        <v>12</v>
      </c>
      <c r="F132" t="s">
        <v>97</v>
      </c>
      <c r="G132" t="s">
        <v>81</v>
      </c>
      <c r="H132" t="s">
        <v>1</v>
      </c>
      <c r="I132">
        <v>10</v>
      </c>
      <c r="J132">
        <v>508.24</v>
      </c>
      <c r="K132">
        <v>5082.3999999999996</v>
      </c>
    </row>
    <row r="133" spans="1:11">
      <c r="A133" t="s">
        <v>240</v>
      </c>
      <c r="B133" s="1">
        <v>45842</v>
      </c>
      <c r="C133" t="s">
        <v>24</v>
      </c>
      <c r="D133" t="s">
        <v>83</v>
      </c>
      <c r="E133" t="s">
        <v>12</v>
      </c>
      <c r="F133" t="s">
        <v>160</v>
      </c>
      <c r="G133" t="s">
        <v>84</v>
      </c>
      <c r="H133" t="s">
        <v>1</v>
      </c>
      <c r="I133">
        <v>2</v>
      </c>
      <c r="J133">
        <v>1821.14</v>
      </c>
      <c r="K133">
        <v>3642.28</v>
      </c>
    </row>
    <row r="134" spans="1:11">
      <c r="A134" t="s">
        <v>241</v>
      </c>
      <c r="B134" s="1">
        <v>45886</v>
      </c>
      <c r="C134" t="s">
        <v>41</v>
      </c>
      <c r="D134" t="s">
        <v>147</v>
      </c>
      <c r="E134" t="s">
        <v>11</v>
      </c>
      <c r="F134" t="s">
        <v>129</v>
      </c>
      <c r="G134" t="s">
        <v>99</v>
      </c>
      <c r="H134" t="s">
        <v>1</v>
      </c>
      <c r="I134">
        <v>9</v>
      </c>
      <c r="J134">
        <v>300.60000000000002</v>
      </c>
      <c r="K134">
        <v>2705.4</v>
      </c>
    </row>
    <row r="135" spans="1:11">
      <c r="A135" t="s">
        <v>242</v>
      </c>
      <c r="B135" s="1">
        <v>45712</v>
      </c>
      <c r="C135" t="s">
        <v>24</v>
      </c>
      <c r="D135" t="s">
        <v>72</v>
      </c>
      <c r="E135" t="s">
        <v>13</v>
      </c>
      <c r="F135" t="s">
        <v>87</v>
      </c>
      <c r="G135" t="s">
        <v>99</v>
      </c>
      <c r="H135" t="s">
        <v>1</v>
      </c>
      <c r="I135">
        <v>9</v>
      </c>
      <c r="J135">
        <v>773.37</v>
      </c>
      <c r="K135">
        <v>6960.33</v>
      </c>
    </row>
    <row r="136" spans="1:11">
      <c r="A136" t="s">
        <v>243</v>
      </c>
      <c r="B136" s="1">
        <v>46021</v>
      </c>
      <c r="C136" t="s">
        <v>3</v>
      </c>
      <c r="D136" t="s">
        <v>89</v>
      </c>
      <c r="E136" t="s">
        <v>15</v>
      </c>
      <c r="F136" t="s">
        <v>102</v>
      </c>
      <c r="G136" t="s">
        <v>135</v>
      </c>
      <c r="H136" t="s">
        <v>58</v>
      </c>
      <c r="I136">
        <v>7</v>
      </c>
      <c r="J136">
        <v>143.33000000000001</v>
      </c>
      <c r="K136">
        <v>1003.31</v>
      </c>
    </row>
    <row r="137" spans="1:11">
      <c r="A137" t="s">
        <v>244</v>
      </c>
      <c r="B137" s="1">
        <v>46011</v>
      </c>
      <c r="C137" t="s">
        <v>24</v>
      </c>
      <c r="D137" t="s">
        <v>83</v>
      </c>
      <c r="E137" t="s">
        <v>10</v>
      </c>
      <c r="F137" t="s">
        <v>73</v>
      </c>
      <c r="G137" t="s">
        <v>94</v>
      </c>
      <c r="H137" t="s">
        <v>1</v>
      </c>
      <c r="I137">
        <v>2</v>
      </c>
      <c r="J137">
        <v>580.27</v>
      </c>
      <c r="K137">
        <v>1160.54</v>
      </c>
    </row>
    <row r="138" spans="1:11">
      <c r="A138" t="s">
        <v>245</v>
      </c>
      <c r="B138" s="1">
        <v>45868</v>
      </c>
      <c r="C138" t="s">
        <v>41</v>
      </c>
      <c r="D138" t="s">
        <v>76</v>
      </c>
      <c r="E138" t="s">
        <v>10</v>
      </c>
      <c r="F138" t="s">
        <v>73</v>
      </c>
      <c r="G138" t="s">
        <v>120</v>
      </c>
      <c r="H138" t="s">
        <v>58</v>
      </c>
      <c r="I138">
        <v>6</v>
      </c>
      <c r="J138">
        <v>611.20000000000005</v>
      </c>
      <c r="K138">
        <v>3667.2</v>
      </c>
    </row>
    <row r="139" spans="1:11">
      <c r="A139" t="s">
        <v>246</v>
      </c>
      <c r="B139" s="1">
        <v>46022</v>
      </c>
      <c r="C139" t="s">
        <v>24</v>
      </c>
      <c r="D139" t="s">
        <v>83</v>
      </c>
      <c r="E139" t="s">
        <v>15</v>
      </c>
      <c r="F139" t="s">
        <v>114</v>
      </c>
      <c r="G139" t="s">
        <v>94</v>
      </c>
      <c r="H139" t="s">
        <v>58</v>
      </c>
      <c r="I139">
        <v>5</v>
      </c>
      <c r="J139">
        <v>88.95</v>
      </c>
      <c r="K139">
        <v>444.75</v>
      </c>
    </row>
    <row r="140" spans="1:11">
      <c r="A140" t="s">
        <v>247</v>
      </c>
      <c r="B140" s="1">
        <v>45881</v>
      </c>
      <c r="C140" t="s">
        <v>41</v>
      </c>
      <c r="D140" t="s">
        <v>147</v>
      </c>
      <c r="E140" t="s">
        <v>13</v>
      </c>
      <c r="F140" t="s">
        <v>110</v>
      </c>
      <c r="G140" t="s">
        <v>78</v>
      </c>
      <c r="H140" t="s">
        <v>58</v>
      </c>
      <c r="I140">
        <v>5</v>
      </c>
      <c r="J140">
        <v>932.92</v>
      </c>
      <c r="K140">
        <v>4664.6000000000004</v>
      </c>
    </row>
    <row r="141" spans="1:11">
      <c r="A141" t="s">
        <v>248</v>
      </c>
      <c r="B141" s="1">
        <v>45791</v>
      </c>
      <c r="C141" t="s">
        <v>42</v>
      </c>
      <c r="D141" t="s">
        <v>122</v>
      </c>
      <c r="E141" t="s">
        <v>12</v>
      </c>
      <c r="F141" t="s">
        <v>97</v>
      </c>
      <c r="G141" t="s">
        <v>81</v>
      </c>
      <c r="H141" t="s">
        <v>1</v>
      </c>
      <c r="I141">
        <v>6</v>
      </c>
      <c r="J141">
        <v>498.63</v>
      </c>
      <c r="K141">
        <v>2991.78</v>
      </c>
    </row>
    <row r="142" spans="1:11">
      <c r="A142" t="s">
        <v>249</v>
      </c>
      <c r="B142" s="1">
        <v>45762</v>
      </c>
      <c r="C142" t="s">
        <v>3</v>
      </c>
      <c r="D142" t="s">
        <v>101</v>
      </c>
      <c r="E142" t="s">
        <v>11</v>
      </c>
      <c r="F142" t="s">
        <v>90</v>
      </c>
      <c r="G142" t="s">
        <v>94</v>
      </c>
      <c r="H142" t="s">
        <v>1</v>
      </c>
      <c r="I142">
        <v>7</v>
      </c>
      <c r="J142">
        <v>201.36</v>
      </c>
      <c r="K142">
        <v>1409.52</v>
      </c>
    </row>
    <row r="143" spans="1:11">
      <c r="A143" t="s">
        <v>250</v>
      </c>
      <c r="B143" s="1">
        <v>45792</v>
      </c>
      <c r="C143" t="s">
        <v>41</v>
      </c>
      <c r="D143" t="s">
        <v>76</v>
      </c>
      <c r="E143" t="s">
        <v>11</v>
      </c>
      <c r="F143" t="s">
        <v>90</v>
      </c>
      <c r="G143" t="s">
        <v>81</v>
      </c>
      <c r="H143" t="s">
        <v>1</v>
      </c>
      <c r="I143">
        <v>4</v>
      </c>
      <c r="J143">
        <v>203.99</v>
      </c>
      <c r="K143">
        <v>815.96</v>
      </c>
    </row>
    <row r="144" spans="1:11">
      <c r="A144" t="s">
        <v>251</v>
      </c>
      <c r="B144" s="1">
        <v>45873</v>
      </c>
      <c r="C144" t="s">
        <v>24</v>
      </c>
      <c r="D144" t="s">
        <v>72</v>
      </c>
      <c r="E144" t="s">
        <v>14</v>
      </c>
      <c r="F144" t="s">
        <v>80</v>
      </c>
      <c r="G144" t="s">
        <v>81</v>
      </c>
      <c r="H144" t="s">
        <v>58</v>
      </c>
      <c r="I144">
        <v>7</v>
      </c>
      <c r="J144">
        <v>717.16</v>
      </c>
      <c r="K144">
        <v>5020.12</v>
      </c>
    </row>
    <row r="145" spans="1:11">
      <c r="A145" t="s">
        <v>252</v>
      </c>
      <c r="B145" s="1">
        <v>45947</v>
      </c>
      <c r="C145" t="s">
        <v>41</v>
      </c>
      <c r="D145" t="s">
        <v>147</v>
      </c>
      <c r="E145" t="s">
        <v>10</v>
      </c>
      <c r="F145" t="s">
        <v>119</v>
      </c>
      <c r="G145" t="s">
        <v>74</v>
      </c>
      <c r="H145" t="s">
        <v>58</v>
      </c>
      <c r="I145">
        <v>10</v>
      </c>
      <c r="J145">
        <v>888.35</v>
      </c>
      <c r="K145">
        <v>8883.5</v>
      </c>
    </row>
    <row r="146" spans="1:11">
      <c r="A146" t="s">
        <v>253</v>
      </c>
      <c r="B146" s="1">
        <v>46022</v>
      </c>
      <c r="C146" t="s">
        <v>24</v>
      </c>
      <c r="D146" t="s">
        <v>72</v>
      </c>
      <c r="E146" t="s">
        <v>15</v>
      </c>
      <c r="F146" t="s">
        <v>114</v>
      </c>
      <c r="G146" t="s">
        <v>74</v>
      </c>
      <c r="H146" t="s">
        <v>1</v>
      </c>
      <c r="I146">
        <v>6</v>
      </c>
      <c r="J146">
        <v>85.61</v>
      </c>
      <c r="K146">
        <v>513.66</v>
      </c>
    </row>
    <row r="147" spans="1:11">
      <c r="A147" t="s">
        <v>254</v>
      </c>
      <c r="B147" s="1">
        <v>45705</v>
      </c>
      <c r="C147" t="s">
        <v>3</v>
      </c>
      <c r="D147" t="s">
        <v>101</v>
      </c>
      <c r="E147" t="s">
        <v>13</v>
      </c>
      <c r="F147" t="s">
        <v>110</v>
      </c>
      <c r="G147" t="s">
        <v>99</v>
      </c>
      <c r="H147" t="s">
        <v>58</v>
      </c>
      <c r="I147">
        <v>6</v>
      </c>
      <c r="J147">
        <v>869.59</v>
      </c>
      <c r="K147">
        <v>5217.54</v>
      </c>
    </row>
    <row r="148" spans="1:11">
      <c r="A148" t="s">
        <v>255</v>
      </c>
      <c r="B148" s="1">
        <v>45927</v>
      </c>
      <c r="C148" t="s">
        <v>3</v>
      </c>
      <c r="D148" t="s">
        <v>101</v>
      </c>
      <c r="E148" t="s">
        <v>12</v>
      </c>
      <c r="F148" t="s">
        <v>97</v>
      </c>
      <c r="G148" t="s">
        <v>135</v>
      </c>
      <c r="H148" t="s">
        <v>58</v>
      </c>
      <c r="I148">
        <v>7</v>
      </c>
      <c r="J148">
        <v>488.55</v>
      </c>
      <c r="K148">
        <v>3419.85</v>
      </c>
    </row>
    <row r="149" spans="1:11">
      <c r="A149" t="s">
        <v>256</v>
      </c>
      <c r="B149" s="1">
        <v>45894</v>
      </c>
      <c r="C149" t="s">
        <v>3</v>
      </c>
      <c r="D149" t="s">
        <v>89</v>
      </c>
      <c r="E149" t="s">
        <v>10</v>
      </c>
      <c r="F149" t="s">
        <v>119</v>
      </c>
      <c r="G149" t="s">
        <v>135</v>
      </c>
      <c r="H149" t="s">
        <v>1</v>
      </c>
      <c r="I149">
        <v>7</v>
      </c>
      <c r="J149">
        <v>868.18</v>
      </c>
      <c r="K149">
        <v>6077.26</v>
      </c>
    </row>
    <row r="150" spans="1:11">
      <c r="A150" t="s">
        <v>257</v>
      </c>
      <c r="B150" s="1">
        <v>45817</v>
      </c>
      <c r="C150" t="s">
        <v>24</v>
      </c>
      <c r="D150" t="s">
        <v>83</v>
      </c>
      <c r="E150" t="s">
        <v>10</v>
      </c>
      <c r="F150" t="s">
        <v>73</v>
      </c>
      <c r="G150" t="s">
        <v>94</v>
      </c>
      <c r="H150" t="s">
        <v>1</v>
      </c>
      <c r="I150">
        <v>6</v>
      </c>
      <c r="J150">
        <v>573.39</v>
      </c>
      <c r="K150">
        <v>3440.34</v>
      </c>
    </row>
    <row r="151" spans="1:11">
      <c r="A151" t="s">
        <v>258</v>
      </c>
      <c r="B151" s="1">
        <v>45887</v>
      </c>
      <c r="C151" t="s">
        <v>3</v>
      </c>
      <c r="D151" t="s">
        <v>89</v>
      </c>
      <c r="E151" t="s">
        <v>12</v>
      </c>
      <c r="F151" t="s">
        <v>97</v>
      </c>
      <c r="G151" t="s">
        <v>84</v>
      </c>
      <c r="H151" t="s">
        <v>1</v>
      </c>
      <c r="I151">
        <v>1</v>
      </c>
      <c r="J151">
        <v>502.28</v>
      </c>
      <c r="K151">
        <v>502.28</v>
      </c>
    </row>
    <row r="152" spans="1:11">
      <c r="A152" t="s">
        <v>259</v>
      </c>
      <c r="B152" s="1">
        <v>45895</v>
      </c>
      <c r="C152" t="s">
        <v>24</v>
      </c>
      <c r="D152" t="s">
        <v>83</v>
      </c>
      <c r="E152" t="s">
        <v>14</v>
      </c>
      <c r="F152" t="s">
        <v>77</v>
      </c>
      <c r="G152" t="s">
        <v>74</v>
      </c>
      <c r="H152" t="s">
        <v>1</v>
      </c>
      <c r="I152">
        <v>6</v>
      </c>
      <c r="J152">
        <v>2012.55</v>
      </c>
      <c r="K152">
        <v>12075.3</v>
      </c>
    </row>
    <row r="153" spans="1:11">
      <c r="A153" t="s">
        <v>260</v>
      </c>
      <c r="B153" s="1">
        <v>45803</v>
      </c>
      <c r="C153" t="s">
        <v>41</v>
      </c>
      <c r="D153" t="s">
        <v>147</v>
      </c>
      <c r="E153" t="s">
        <v>10</v>
      </c>
      <c r="F153" t="s">
        <v>73</v>
      </c>
      <c r="G153" t="s">
        <v>94</v>
      </c>
      <c r="H153" t="s">
        <v>1</v>
      </c>
      <c r="I153">
        <v>5</v>
      </c>
      <c r="J153">
        <v>570.97</v>
      </c>
      <c r="K153">
        <v>2854.85</v>
      </c>
    </row>
    <row r="154" spans="1:11">
      <c r="A154" t="s">
        <v>261</v>
      </c>
      <c r="B154" s="1">
        <v>46019</v>
      </c>
      <c r="C154" t="s">
        <v>41</v>
      </c>
      <c r="D154" t="s">
        <v>147</v>
      </c>
      <c r="E154" t="s">
        <v>10</v>
      </c>
      <c r="F154" t="s">
        <v>142</v>
      </c>
      <c r="G154" t="s">
        <v>135</v>
      </c>
      <c r="H154" t="s">
        <v>58</v>
      </c>
      <c r="I154">
        <v>5</v>
      </c>
      <c r="J154">
        <v>1344.65</v>
      </c>
      <c r="K154">
        <v>6723.25</v>
      </c>
    </row>
    <row r="155" spans="1:11">
      <c r="A155" t="s">
        <v>262</v>
      </c>
      <c r="B155" s="1">
        <v>45921</v>
      </c>
      <c r="C155" t="s">
        <v>42</v>
      </c>
      <c r="D155" t="s">
        <v>86</v>
      </c>
      <c r="E155" t="s">
        <v>13</v>
      </c>
      <c r="F155" t="s">
        <v>87</v>
      </c>
      <c r="G155" t="s">
        <v>81</v>
      </c>
      <c r="H155" t="s">
        <v>58</v>
      </c>
      <c r="I155">
        <v>2</v>
      </c>
      <c r="J155">
        <v>739.26</v>
      </c>
      <c r="K155">
        <v>1478.52</v>
      </c>
    </row>
    <row r="156" spans="1:11">
      <c r="A156" t="s">
        <v>263</v>
      </c>
      <c r="B156" s="1">
        <v>45905</v>
      </c>
      <c r="C156" t="s">
        <v>24</v>
      </c>
      <c r="D156" t="s">
        <v>83</v>
      </c>
      <c r="E156" t="s">
        <v>15</v>
      </c>
      <c r="F156" t="s">
        <v>102</v>
      </c>
      <c r="G156" t="s">
        <v>94</v>
      </c>
      <c r="H156" t="s">
        <v>58</v>
      </c>
      <c r="I156">
        <v>2</v>
      </c>
      <c r="J156">
        <v>148.08000000000001</v>
      </c>
      <c r="K156">
        <v>296.16000000000003</v>
      </c>
    </row>
    <row r="157" spans="1:11">
      <c r="A157" t="s">
        <v>264</v>
      </c>
      <c r="B157" s="1">
        <v>45739</v>
      </c>
      <c r="C157" t="s">
        <v>3</v>
      </c>
      <c r="D157" t="s">
        <v>92</v>
      </c>
      <c r="E157" t="s">
        <v>15</v>
      </c>
      <c r="F157" t="s">
        <v>132</v>
      </c>
      <c r="G157" t="s">
        <v>78</v>
      </c>
      <c r="H157" t="s">
        <v>58</v>
      </c>
      <c r="I157">
        <v>2</v>
      </c>
      <c r="J157">
        <v>122.03</v>
      </c>
      <c r="K157">
        <v>244.06</v>
      </c>
    </row>
    <row r="158" spans="1:11">
      <c r="A158" t="s">
        <v>265</v>
      </c>
      <c r="B158" s="1">
        <v>45789</v>
      </c>
      <c r="C158" t="s">
        <v>3</v>
      </c>
      <c r="D158" t="s">
        <v>101</v>
      </c>
      <c r="E158" t="s">
        <v>15</v>
      </c>
      <c r="F158" t="s">
        <v>132</v>
      </c>
      <c r="G158" t="s">
        <v>74</v>
      </c>
      <c r="H158" t="s">
        <v>58</v>
      </c>
      <c r="I158">
        <v>7</v>
      </c>
      <c r="J158">
        <v>122.64</v>
      </c>
      <c r="K158">
        <v>858.48</v>
      </c>
    </row>
    <row r="159" spans="1:11">
      <c r="A159" t="s">
        <v>266</v>
      </c>
      <c r="B159" s="1">
        <v>45808</v>
      </c>
      <c r="C159" t="s">
        <v>3</v>
      </c>
      <c r="D159" t="s">
        <v>92</v>
      </c>
      <c r="E159" t="s">
        <v>12</v>
      </c>
      <c r="F159" t="s">
        <v>160</v>
      </c>
      <c r="G159" t="s">
        <v>74</v>
      </c>
      <c r="H159" t="s">
        <v>58</v>
      </c>
      <c r="I159">
        <v>1</v>
      </c>
      <c r="J159">
        <v>1726.71</v>
      </c>
      <c r="K159">
        <v>1726.71</v>
      </c>
    </row>
    <row r="160" spans="1:11">
      <c r="A160" t="s">
        <v>267</v>
      </c>
      <c r="B160" s="1">
        <v>45858</v>
      </c>
      <c r="C160" t="s">
        <v>24</v>
      </c>
      <c r="D160" t="s">
        <v>72</v>
      </c>
      <c r="E160" t="s">
        <v>14</v>
      </c>
      <c r="F160" t="s">
        <v>93</v>
      </c>
      <c r="G160" t="s">
        <v>74</v>
      </c>
      <c r="H160" t="s">
        <v>1</v>
      </c>
      <c r="I160">
        <v>3</v>
      </c>
      <c r="J160">
        <v>1528.1</v>
      </c>
      <c r="K160">
        <v>4584.3</v>
      </c>
    </row>
    <row r="161" spans="1:11">
      <c r="A161" t="s">
        <v>268</v>
      </c>
      <c r="B161" s="1">
        <v>45914</v>
      </c>
      <c r="C161" t="s">
        <v>41</v>
      </c>
      <c r="D161" t="s">
        <v>96</v>
      </c>
      <c r="E161" t="s">
        <v>14</v>
      </c>
      <c r="F161" t="s">
        <v>93</v>
      </c>
      <c r="G161" t="s">
        <v>94</v>
      </c>
      <c r="H161" t="s">
        <v>1</v>
      </c>
      <c r="I161">
        <v>4</v>
      </c>
      <c r="J161">
        <v>1464.9</v>
      </c>
      <c r="K161">
        <v>5859.6</v>
      </c>
    </row>
    <row r="162" spans="1:11">
      <c r="A162" t="s">
        <v>269</v>
      </c>
      <c r="B162" s="1">
        <v>45744</v>
      </c>
      <c r="C162" t="s">
        <v>41</v>
      </c>
      <c r="D162" t="s">
        <v>76</v>
      </c>
      <c r="E162" t="s">
        <v>15</v>
      </c>
      <c r="F162" t="s">
        <v>132</v>
      </c>
      <c r="G162" t="s">
        <v>74</v>
      </c>
      <c r="H162" t="s">
        <v>58</v>
      </c>
      <c r="I162">
        <v>1</v>
      </c>
      <c r="J162">
        <v>122.15</v>
      </c>
      <c r="K162">
        <v>122.15</v>
      </c>
    </row>
    <row r="163" spans="1:11">
      <c r="A163" t="s">
        <v>270</v>
      </c>
      <c r="B163" s="1">
        <v>46018</v>
      </c>
      <c r="C163" t="s">
        <v>24</v>
      </c>
      <c r="D163" t="s">
        <v>83</v>
      </c>
      <c r="E163" t="s">
        <v>10</v>
      </c>
      <c r="F163" t="s">
        <v>142</v>
      </c>
      <c r="G163" t="s">
        <v>135</v>
      </c>
      <c r="H163" t="s">
        <v>58</v>
      </c>
      <c r="I163">
        <v>8</v>
      </c>
      <c r="J163">
        <v>1317.84</v>
      </c>
      <c r="K163">
        <v>10542.72</v>
      </c>
    </row>
    <row r="164" spans="1:11">
      <c r="A164" t="s">
        <v>271</v>
      </c>
      <c r="B164" s="1">
        <v>46004</v>
      </c>
      <c r="C164" t="s">
        <v>41</v>
      </c>
      <c r="D164" t="s">
        <v>76</v>
      </c>
      <c r="E164" t="s">
        <v>14</v>
      </c>
      <c r="F164" t="s">
        <v>93</v>
      </c>
      <c r="G164" t="s">
        <v>81</v>
      </c>
      <c r="H164" t="s">
        <v>1</v>
      </c>
      <c r="I164">
        <v>8</v>
      </c>
      <c r="J164">
        <v>1552.06</v>
      </c>
      <c r="K164">
        <v>12416.48</v>
      </c>
    </row>
    <row r="165" spans="1:11">
      <c r="A165" t="s">
        <v>272</v>
      </c>
      <c r="B165" s="1">
        <v>45764</v>
      </c>
      <c r="C165" t="s">
        <v>3</v>
      </c>
      <c r="D165" t="s">
        <v>92</v>
      </c>
      <c r="E165" t="s">
        <v>15</v>
      </c>
      <c r="F165" t="s">
        <v>102</v>
      </c>
      <c r="G165" t="s">
        <v>78</v>
      </c>
      <c r="H165" t="s">
        <v>1</v>
      </c>
      <c r="I165">
        <v>6</v>
      </c>
      <c r="J165">
        <v>152.77000000000001</v>
      </c>
      <c r="K165">
        <v>916.62</v>
      </c>
    </row>
    <row r="166" spans="1:11">
      <c r="A166" t="s">
        <v>273</v>
      </c>
      <c r="B166" s="1">
        <v>45915</v>
      </c>
      <c r="C166" t="s">
        <v>3</v>
      </c>
      <c r="D166" t="s">
        <v>92</v>
      </c>
      <c r="E166" t="s">
        <v>11</v>
      </c>
      <c r="F166" t="s">
        <v>112</v>
      </c>
      <c r="G166" t="s">
        <v>135</v>
      </c>
      <c r="H166" t="s">
        <v>58</v>
      </c>
      <c r="I166">
        <v>7</v>
      </c>
      <c r="J166">
        <v>334.02</v>
      </c>
      <c r="K166">
        <v>2338.14</v>
      </c>
    </row>
    <row r="167" spans="1:11">
      <c r="A167" t="s">
        <v>274</v>
      </c>
      <c r="B167" s="1">
        <v>46006</v>
      </c>
      <c r="C167" t="s">
        <v>41</v>
      </c>
      <c r="D167" t="s">
        <v>147</v>
      </c>
      <c r="E167" t="s">
        <v>13</v>
      </c>
      <c r="F167" t="s">
        <v>87</v>
      </c>
      <c r="G167" t="s">
        <v>81</v>
      </c>
      <c r="H167" t="s">
        <v>1</v>
      </c>
      <c r="I167">
        <v>1</v>
      </c>
      <c r="J167">
        <v>755.17</v>
      </c>
      <c r="K167">
        <v>755.17</v>
      </c>
    </row>
    <row r="168" spans="1:11">
      <c r="A168" t="s">
        <v>275</v>
      </c>
      <c r="B168" s="1">
        <v>45932</v>
      </c>
      <c r="C168" t="s">
        <v>24</v>
      </c>
      <c r="D168" t="s">
        <v>83</v>
      </c>
      <c r="E168" t="s">
        <v>11</v>
      </c>
      <c r="F168" t="s">
        <v>129</v>
      </c>
      <c r="G168" t="s">
        <v>99</v>
      </c>
      <c r="H168" t="s">
        <v>1</v>
      </c>
      <c r="I168">
        <v>5</v>
      </c>
      <c r="J168">
        <v>292.20999999999998</v>
      </c>
      <c r="K168">
        <v>1461.05</v>
      </c>
    </row>
    <row r="169" spans="1:11">
      <c r="A169" t="s">
        <v>276</v>
      </c>
      <c r="B169" s="1">
        <v>45974</v>
      </c>
      <c r="C169" t="s">
        <v>3</v>
      </c>
      <c r="D169" t="s">
        <v>92</v>
      </c>
      <c r="E169" t="s">
        <v>14</v>
      </c>
      <c r="F169" t="s">
        <v>93</v>
      </c>
      <c r="G169" t="s">
        <v>94</v>
      </c>
      <c r="H169" t="s">
        <v>1</v>
      </c>
      <c r="I169">
        <v>3</v>
      </c>
      <c r="J169">
        <v>1524.93</v>
      </c>
      <c r="K169">
        <v>4574.79</v>
      </c>
    </row>
    <row r="170" spans="1:11">
      <c r="A170" t="s">
        <v>277</v>
      </c>
      <c r="B170" s="1">
        <v>45908</v>
      </c>
      <c r="C170" t="s">
        <v>42</v>
      </c>
      <c r="D170" t="s">
        <v>86</v>
      </c>
      <c r="E170" t="s">
        <v>11</v>
      </c>
      <c r="F170" t="s">
        <v>90</v>
      </c>
      <c r="G170" t="s">
        <v>84</v>
      </c>
      <c r="H170" t="s">
        <v>1</v>
      </c>
      <c r="I170">
        <v>6</v>
      </c>
      <c r="J170">
        <v>193.4</v>
      </c>
      <c r="K170">
        <v>1160.4000000000001</v>
      </c>
    </row>
    <row r="171" spans="1:11">
      <c r="A171" t="s">
        <v>278</v>
      </c>
      <c r="B171" s="1">
        <v>45979</v>
      </c>
      <c r="C171" t="s">
        <v>3</v>
      </c>
      <c r="D171" t="s">
        <v>89</v>
      </c>
      <c r="E171" t="s">
        <v>11</v>
      </c>
      <c r="F171" t="s">
        <v>112</v>
      </c>
      <c r="G171" t="s">
        <v>99</v>
      </c>
      <c r="H171" t="s">
        <v>58</v>
      </c>
      <c r="I171">
        <v>10</v>
      </c>
      <c r="J171">
        <v>338.77</v>
      </c>
      <c r="K171">
        <v>3387.7</v>
      </c>
    </row>
    <row r="172" spans="1:11">
      <c r="A172" t="s">
        <v>279</v>
      </c>
      <c r="B172" s="1">
        <v>45875</v>
      </c>
      <c r="C172" t="s">
        <v>41</v>
      </c>
      <c r="D172" t="s">
        <v>76</v>
      </c>
      <c r="E172" t="s">
        <v>10</v>
      </c>
      <c r="F172" t="s">
        <v>142</v>
      </c>
      <c r="G172" t="s">
        <v>84</v>
      </c>
      <c r="H172" t="s">
        <v>1</v>
      </c>
      <c r="I172">
        <v>5</v>
      </c>
      <c r="J172">
        <v>1252.47</v>
      </c>
      <c r="K172">
        <v>6262.35</v>
      </c>
    </row>
    <row r="173" spans="1:11">
      <c r="A173" t="s">
        <v>280</v>
      </c>
      <c r="B173" s="1">
        <v>45844</v>
      </c>
      <c r="C173" t="s">
        <v>41</v>
      </c>
      <c r="D173" t="s">
        <v>76</v>
      </c>
      <c r="E173" t="s">
        <v>11</v>
      </c>
      <c r="F173" t="s">
        <v>112</v>
      </c>
      <c r="G173" t="s">
        <v>74</v>
      </c>
      <c r="H173" t="s">
        <v>58</v>
      </c>
      <c r="I173">
        <v>1</v>
      </c>
      <c r="J173">
        <v>354.89</v>
      </c>
      <c r="K173">
        <v>354.89</v>
      </c>
    </row>
    <row r="174" spans="1:11">
      <c r="A174" t="s">
        <v>281</v>
      </c>
      <c r="B174" s="1">
        <v>46017</v>
      </c>
      <c r="C174" t="s">
        <v>24</v>
      </c>
      <c r="D174" t="s">
        <v>72</v>
      </c>
      <c r="E174" t="s">
        <v>12</v>
      </c>
      <c r="F174" t="s">
        <v>97</v>
      </c>
      <c r="G174" t="s">
        <v>84</v>
      </c>
      <c r="H174" t="s">
        <v>58</v>
      </c>
      <c r="I174">
        <v>10</v>
      </c>
      <c r="J174">
        <v>515.89</v>
      </c>
      <c r="K174">
        <v>5158.8999999999996</v>
      </c>
    </row>
    <row r="175" spans="1:11">
      <c r="A175" t="s">
        <v>282</v>
      </c>
      <c r="B175" s="1">
        <v>45739</v>
      </c>
      <c r="C175" t="s">
        <v>41</v>
      </c>
      <c r="D175" t="s">
        <v>96</v>
      </c>
      <c r="E175" t="s">
        <v>15</v>
      </c>
      <c r="F175" t="s">
        <v>132</v>
      </c>
      <c r="G175" t="s">
        <v>99</v>
      </c>
      <c r="H175" t="s">
        <v>58</v>
      </c>
      <c r="I175">
        <v>9</v>
      </c>
      <c r="J175">
        <v>125.19</v>
      </c>
      <c r="K175">
        <v>1126.71</v>
      </c>
    </row>
    <row r="176" spans="1:11">
      <c r="A176" t="s">
        <v>283</v>
      </c>
      <c r="B176" s="1">
        <v>45786</v>
      </c>
      <c r="C176" t="s">
        <v>3</v>
      </c>
      <c r="D176" t="s">
        <v>92</v>
      </c>
      <c r="E176" t="s">
        <v>15</v>
      </c>
      <c r="F176" t="s">
        <v>114</v>
      </c>
      <c r="G176" t="s">
        <v>94</v>
      </c>
      <c r="H176" t="s">
        <v>1</v>
      </c>
      <c r="I176">
        <v>6</v>
      </c>
      <c r="J176">
        <v>87.61</v>
      </c>
      <c r="K176">
        <v>525.66</v>
      </c>
    </row>
    <row r="177" spans="1:11">
      <c r="A177" t="s">
        <v>284</v>
      </c>
      <c r="B177" s="1">
        <v>45760</v>
      </c>
      <c r="C177" t="s">
        <v>41</v>
      </c>
      <c r="D177" t="s">
        <v>147</v>
      </c>
      <c r="E177" t="s">
        <v>14</v>
      </c>
      <c r="F177" t="s">
        <v>77</v>
      </c>
      <c r="G177" t="s">
        <v>78</v>
      </c>
      <c r="H177" t="s">
        <v>1</v>
      </c>
      <c r="I177">
        <v>10</v>
      </c>
      <c r="J177">
        <v>2053.42</v>
      </c>
      <c r="K177">
        <v>20534.2</v>
      </c>
    </row>
    <row r="178" spans="1:11">
      <c r="A178" t="s">
        <v>285</v>
      </c>
      <c r="B178" s="1">
        <v>46006</v>
      </c>
      <c r="C178" t="s">
        <v>42</v>
      </c>
      <c r="D178" t="s">
        <v>86</v>
      </c>
      <c r="E178" t="s">
        <v>15</v>
      </c>
      <c r="F178" t="s">
        <v>132</v>
      </c>
      <c r="G178" t="s">
        <v>99</v>
      </c>
      <c r="H178" t="s">
        <v>58</v>
      </c>
      <c r="I178">
        <v>5</v>
      </c>
      <c r="J178">
        <v>120.01</v>
      </c>
      <c r="K178">
        <v>600.04999999999995</v>
      </c>
    </row>
    <row r="179" spans="1:11">
      <c r="A179" t="s">
        <v>286</v>
      </c>
      <c r="B179" s="1">
        <v>45666</v>
      </c>
      <c r="C179" t="s">
        <v>3</v>
      </c>
      <c r="D179" t="s">
        <v>89</v>
      </c>
      <c r="E179" t="s">
        <v>10</v>
      </c>
      <c r="F179" t="s">
        <v>73</v>
      </c>
      <c r="G179" t="s">
        <v>74</v>
      </c>
      <c r="H179" t="s">
        <v>1</v>
      </c>
      <c r="I179">
        <v>4</v>
      </c>
      <c r="J179">
        <v>585.64</v>
      </c>
      <c r="K179">
        <v>2342.56</v>
      </c>
    </row>
    <row r="180" spans="1:11">
      <c r="A180" t="s">
        <v>287</v>
      </c>
      <c r="B180" s="1">
        <v>45887</v>
      </c>
      <c r="C180" t="s">
        <v>42</v>
      </c>
      <c r="D180" t="s">
        <v>122</v>
      </c>
      <c r="E180" t="s">
        <v>15</v>
      </c>
      <c r="F180" t="s">
        <v>114</v>
      </c>
      <c r="G180" t="s">
        <v>94</v>
      </c>
      <c r="H180" t="s">
        <v>58</v>
      </c>
      <c r="I180">
        <v>9</v>
      </c>
      <c r="J180">
        <v>92.46</v>
      </c>
      <c r="K180">
        <v>832.14</v>
      </c>
    </row>
    <row r="181" spans="1:11">
      <c r="A181" t="s">
        <v>288</v>
      </c>
      <c r="B181" s="1">
        <v>45904</v>
      </c>
      <c r="C181" t="s">
        <v>24</v>
      </c>
      <c r="D181" t="s">
        <v>72</v>
      </c>
      <c r="E181" t="s">
        <v>12</v>
      </c>
      <c r="F181" t="s">
        <v>178</v>
      </c>
      <c r="G181" t="s">
        <v>78</v>
      </c>
      <c r="H181" t="s">
        <v>58</v>
      </c>
      <c r="I181">
        <v>7</v>
      </c>
      <c r="J181">
        <v>1510.66</v>
      </c>
      <c r="K181">
        <v>10574.62</v>
      </c>
    </row>
    <row r="182" spans="1:11">
      <c r="A182" t="s">
        <v>289</v>
      </c>
      <c r="B182" s="1">
        <v>45987</v>
      </c>
      <c r="C182" t="s">
        <v>42</v>
      </c>
      <c r="D182" t="s">
        <v>107</v>
      </c>
      <c r="E182" t="s">
        <v>11</v>
      </c>
      <c r="F182" t="s">
        <v>112</v>
      </c>
      <c r="G182" t="s">
        <v>99</v>
      </c>
      <c r="H182" t="s">
        <v>1</v>
      </c>
      <c r="I182">
        <v>5</v>
      </c>
      <c r="J182">
        <v>341.15</v>
      </c>
      <c r="K182">
        <v>1705.75</v>
      </c>
    </row>
    <row r="183" spans="1:11">
      <c r="A183" t="s">
        <v>290</v>
      </c>
      <c r="B183" s="1">
        <v>45871</v>
      </c>
      <c r="C183" t="s">
        <v>42</v>
      </c>
      <c r="D183" t="s">
        <v>107</v>
      </c>
      <c r="E183" t="s">
        <v>10</v>
      </c>
      <c r="F183" t="s">
        <v>142</v>
      </c>
      <c r="G183" t="s">
        <v>94</v>
      </c>
      <c r="H183" t="s">
        <v>1</v>
      </c>
      <c r="I183">
        <v>4</v>
      </c>
      <c r="J183">
        <v>1338.86</v>
      </c>
      <c r="K183">
        <v>5355.44</v>
      </c>
    </row>
    <row r="184" spans="1:11">
      <c r="A184" t="s">
        <v>291</v>
      </c>
      <c r="B184" s="1">
        <v>45928</v>
      </c>
      <c r="C184" t="s">
        <v>24</v>
      </c>
      <c r="D184" t="s">
        <v>72</v>
      </c>
      <c r="E184" t="s">
        <v>10</v>
      </c>
      <c r="F184" t="s">
        <v>73</v>
      </c>
      <c r="G184" t="s">
        <v>120</v>
      </c>
      <c r="H184" t="s">
        <v>1</v>
      </c>
      <c r="I184">
        <v>6</v>
      </c>
      <c r="J184">
        <v>600.75</v>
      </c>
      <c r="K184">
        <v>3604.5</v>
      </c>
    </row>
    <row r="185" spans="1:11">
      <c r="A185" t="s">
        <v>292</v>
      </c>
      <c r="B185" s="1">
        <v>45661</v>
      </c>
      <c r="C185" t="s">
        <v>41</v>
      </c>
      <c r="D185" t="s">
        <v>96</v>
      </c>
      <c r="E185" t="s">
        <v>13</v>
      </c>
      <c r="F185" t="s">
        <v>123</v>
      </c>
      <c r="G185" t="s">
        <v>94</v>
      </c>
      <c r="H185" t="s">
        <v>1</v>
      </c>
      <c r="I185">
        <v>4</v>
      </c>
      <c r="J185">
        <v>1149.8</v>
      </c>
      <c r="K185">
        <v>4599.2</v>
      </c>
    </row>
    <row r="186" spans="1:11">
      <c r="A186" t="s">
        <v>293</v>
      </c>
      <c r="B186" s="1">
        <v>45726</v>
      </c>
      <c r="C186" t="s">
        <v>24</v>
      </c>
      <c r="D186" t="s">
        <v>72</v>
      </c>
      <c r="E186" t="s">
        <v>11</v>
      </c>
      <c r="F186" t="s">
        <v>112</v>
      </c>
      <c r="G186" t="s">
        <v>78</v>
      </c>
      <c r="H186" t="s">
        <v>1</v>
      </c>
      <c r="I186">
        <v>7</v>
      </c>
      <c r="J186">
        <v>351.78</v>
      </c>
      <c r="K186">
        <v>2462.46</v>
      </c>
    </row>
    <row r="187" spans="1:11">
      <c r="A187" t="s">
        <v>294</v>
      </c>
      <c r="B187" s="1">
        <v>45773</v>
      </c>
      <c r="C187" t="s">
        <v>42</v>
      </c>
      <c r="D187" t="s">
        <v>122</v>
      </c>
      <c r="E187" t="s">
        <v>12</v>
      </c>
      <c r="F187" t="s">
        <v>160</v>
      </c>
      <c r="G187" t="s">
        <v>81</v>
      </c>
      <c r="H187" t="s">
        <v>58</v>
      </c>
      <c r="I187">
        <v>1</v>
      </c>
      <c r="J187">
        <v>1877.54</v>
      </c>
      <c r="K187">
        <v>1877.54</v>
      </c>
    </row>
    <row r="188" spans="1:11">
      <c r="A188" t="s">
        <v>295</v>
      </c>
      <c r="B188" s="1">
        <v>45936</v>
      </c>
      <c r="C188" t="s">
        <v>3</v>
      </c>
      <c r="D188" t="s">
        <v>101</v>
      </c>
      <c r="E188" t="s">
        <v>14</v>
      </c>
      <c r="F188" t="s">
        <v>77</v>
      </c>
      <c r="G188" t="s">
        <v>99</v>
      </c>
      <c r="H188" t="s">
        <v>58</v>
      </c>
      <c r="I188">
        <v>9</v>
      </c>
      <c r="J188">
        <v>1951.2</v>
      </c>
      <c r="K188">
        <v>17560.8</v>
      </c>
    </row>
    <row r="189" spans="1:11">
      <c r="A189" t="s">
        <v>296</v>
      </c>
      <c r="B189" s="1">
        <v>45780</v>
      </c>
      <c r="C189" t="s">
        <v>24</v>
      </c>
      <c r="D189" t="s">
        <v>72</v>
      </c>
      <c r="E189" t="s">
        <v>15</v>
      </c>
      <c r="F189" t="s">
        <v>114</v>
      </c>
      <c r="G189" t="s">
        <v>99</v>
      </c>
      <c r="H189" t="s">
        <v>1</v>
      </c>
      <c r="I189">
        <v>7</v>
      </c>
      <c r="J189">
        <v>94.31</v>
      </c>
      <c r="K189">
        <v>660.17</v>
      </c>
    </row>
    <row r="190" spans="1:11">
      <c r="A190" t="s">
        <v>297</v>
      </c>
      <c r="B190" s="1">
        <v>46018</v>
      </c>
      <c r="C190" t="s">
        <v>41</v>
      </c>
      <c r="D190" t="s">
        <v>147</v>
      </c>
      <c r="E190" t="s">
        <v>15</v>
      </c>
      <c r="F190" t="s">
        <v>114</v>
      </c>
      <c r="G190" t="s">
        <v>94</v>
      </c>
      <c r="H190" t="s">
        <v>58</v>
      </c>
      <c r="I190">
        <v>6</v>
      </c>
      <c r="J190">
        <v>87.82</v>
      </c>
      <c r="K190">
        <v>526.91999999999996</v>
      </c>
    </row>
    <row r="191" spans="1:11">
      <c r="A191" t="s">
        <v>298</v>
      </c>
      <c r="B191" s="1">
        <v>45955</v>
      </c>
      <c r="C191" t="s">
        <v>24</v>
      </c>
      <c r="D191" t="s">
        <v>72</v>
      </c>
      <c r="E191" t="s">
        <v>12</v>
      </c>
      <c r="F191" t="s">
        <v>97</v>
      </c>
      <c r="G191" t="s">
        <v>120</v>
      </c>
      <c r="H191" t="s">
        <v>58</v>
      </c>
      <c r="I191">
        <v>5</v>
      </c>
      <c r="J191">
        <v>499.35</v>
      </c>
      <c r="K191">
        <v>2496.75</v>
      </c>
    </row>
    <row r="192" spans="1:11">
      <c r="A192" t="s">
        <v>299</v>
      </c>
      <c r="B192" s="1">
        <v>45933</v>
      </c>
      <c r="C192" t="s">
        <v>42</v>
      </c>
      <c r="D192" t="s">
        <v>122</v>
      </c>
      <c r="E192" t="s">
        <v>10</v>
      </c>
      <c r="F192" t="s">
        <v>119</v>
      </c>
      <c r="G192" t="s">
        <v>81</v>
      </c>
      <c r="H192" t="s">
        <v>58</v>
      </c>
      <c r="I192">
        <v>9</v>
      </c>
      <c r="J192">
        <v>873.38</v>
      </c>
      <c r="K192">
        <v>7860.42</v>
      </c>
    </row>
    <row r="193" spans="1:11">
      <c r="A193" t="s">
        <v>300</v>
      </c>
      <c r="B193" s="1">
        <v>45985</v>
      </c>
      <c r="C193" t="s">
        <v>24</v>
      </c>
      <c r="D193" t="s">
        <v>72</v>
      </c>
      <c r="E193" t="s">
        <v>13</v>
      </c>
      <c r="F193" t="s">
        <v>110</v>
      </c>
      <c r="G193" t="s">
        <v>78</v>
      </c>
      <c r="H193" t="s">
        <v>1</v>
      </c>
      <c r="I193">
        <v>9</v>
      </c>
      <c r="J193">
        <v>906.31</v>
      </c>
      <c r="K193">
        <v>8156.79</v>
      </c>
    </row>
    <row r="194" spans="1:11">
      <c r="A194" t="s">
        <v>301</v>
      </c>
      <c r="B194" s="1">
        <v>46005</v>
      </c>
      <c r="C194" t="s">
        <v>41</v>
      </c>
      <c r="D194" t="s">
        <v>147</v>
      </c>
      <c r="E194" t="s">
        <v>11</v>
      </c>
      <c r="F194" t="s">
        <v>112</v>
      </c>
      <c r="G194" t="s">
        <v>94</v>
      </c>
      <c r="H194" t="s">
        <v>58</v>
      </c>
      <c r="I194">
        <v>3</v>
      </c>
      <c r="J194">
        <v>357.76</v>
      </c>
      <c r="K194">
        <v>1073.28</v>
      </c>
    </row>
    <row r="195" spans="1:11">
      <c r="A195" t="s">
        <v>302</v>
      </c>
      <c r="B195" s="1">
        <v>46008</v>
      </c>
      <c r="C195" t="s">
        <v>42</v>
      </c>
      <c r="D195" t="s">
        <v>122</v>
      </c>
      <c r="E195" t="s">
        <v>11</v>
      </c>
      <c r="F195" t="s">
        <v>129</v>
      </c>
      <c r="G195" t="s">
        <v>74</v>
      </c>
      <c r="H195" t="s">
        <v>58</v>
      </c>
      <c r="I195">
        <v>4</v>
      </c>
      <c r="J195">
        <v>308.89</v>
      </c>
      <c r="K195">
        <v>1235.56</v>
      </c>
    </row>
    <row r="196" spans="1:11">
      <c r="A196" t="s">
        <v>303</v>
      </c>
      <c r="B196" s="1">
        <v>45949</v>
      </c>
      <c r="C196" t="s">
        <v>42</v>
      </c>
      <c r="D196" t="s">
        <v>122</v>
      </c>
      <c r="E196" t="s">
        <v>13</v>
      </c>
      <c r="F196" t="s">
        <v>123</v>
      </c>
      <c r="G196" t="s">
        <v>78</v>
      </c>
      <c r="H196" t="s">
        <v>1</v>
      </c>
      <c r="I196">
        <v>7</v>
      </c>
      <c r="J196">
        <v>1169.8800000000001</v>
      </c>
      <c r="K196">
        <v>8189.16</v>
      </c>
    </row>
    <row r="197" spans="1:11">
      <c r="A197" t="s">
        <v>304</v>
      </c>
      <c r="B197" s="1">
        <v>45823</v>
      </c>
      <c r="C197" t="s">
        <v>42</v>
      </c>
      <c r="D197" t="s">
        <v>107</v>
      </c>
      <c r="E197" t="s">
        <v>11</v>
      </c>
      <c r="F197" t="s">
        <v>129</v>
      </c>
      <c r="G197" t="s">
        <v>81</v>
      </c>
      <c r="H197" t="s">
        <v>58</v>
      </c>
      <c r="I197">
        <v>5</v>
      </c>
      <c r="J197">
        <v>309.7</v>
      </c>
      <c r="K197">
        <v>1548.5</v>
      </c>
    </row>
    <row r="198" spans="1:11">
      <c r="A198" t="s">
        <v>305</v>
      </c>
      <c r="B198" s="1">
        <v>45822</v>
      </c>
      <c r="C198" t="s">
        <v>42</v>
      </c>
      <c r="D198" t="s">
        <v>86</v>
      </c>
      <c r="E198" t="s">
        <v>15</v>
      </c>
      <c r="F198" t="s">
        <v>132</v>
      </c>
      <c r="G198" t="s">
        <v>78</v>
      </c>
      <c r="H198" t="s">
        <v>58</v>
      </c>
      <c r="I198">
        <v>7</v>
      </c>
      <c r="J198">
        <v>125.51</v>
      </c>
      <c r="K198">
        <v>878.57</v>
      </c>
    </row>
    <row r="199" spans="1:11">
      <c r="A199" t="s">
        <v>306</v>
      </c>
      <c r="B199" s="1">
        <v>46006</v>
      </c>
      <c r="C199" t="s">
        <v>42</v>
      </c>
      <c r="D199" t="s">
        <v>86</v>
      </c>
      <c r="E199" t="s">
        <v>15</v>
      </c>
      <c r="F199" t="s">
        <v>114</v>
      </c>
      <c r="G199" t="s">
        <v>84</v>
      </c>
      <c r="H199" t="s">
        <v>1</v>
      </c>
      <c r="I199">
        <v>10</v>
      </c>
      <c r="J199">
        <v>90.48</v>
      </c>
      <c r="K199">
        <v>904.8</v>
      </c>
    </row>
    <row r="200" spans="1:11">
      <c r="A200" t="s">
        <v>307</v>
      </c>
      <c r="B200" s="1">
        <v>45834</v>
      </c>
      <c r="C200" t="s">
        <v>24</v>
      </c>
      <c r="D200" t="s">
        <v>72</v>
      </c>
      <c r="E200" t="s">
        <v>11</v>
      </c>
      <c r="F200" t="s">
        <v>129</v>
      </c>
      <c r="G200" t="s">
        <v>81</v>
      </c>
      <c r="H200" t="s">
        <v>58</v>
      </c>
      <c r="I200">
        <v>9</v>
      </c>
      <c r="J200">
        <v>309.3</v>
      </c>
      <c r="K200">
        <v>2783.7</v>
      </c>
    </row>
    <row r="201" spans="1:11">
      <c r="A201" t="s">
        <v>308</v>
      </c>
      <c r="B201" s="1">
        <v>45679</v>
      </c>
      <c r="C201" t="s">
        <v>24</v>
      </c>
      <c r="D201" t="s">
        <v>83</v>
      </c>
      <c r="E201" t="s">
        <v>11</v>
      </c>
      <c r="F201" t="s">
        <v>90</v>
      </c>
      <c r="G201" t="s">
        <v>120</v>
      </c>
      <c r="H201" t="s">
        <v>1</v>
      </c>
      <c r="I201">
        <v>8</v>
      </c>
      <c r="J201">
        <v>199.22</v>
      </c>
      <c r="K201">
        <v>1593.76</v>
      </c>
    </row>
    <row r="202" spans="1:11">
      <c r="A202" t="s">
        <v>309</v>
      </c>
      <c r="B202" s="1">
        <v>45752</v>
      </c>
      <c r="C202" t="s">
        <v>42</v>
      </c>
      <c r="D202" t="s">
        <v>86</v>
      </c>
      <c r="E202" t="s">
        <v>12</v>
      </c>
      <c r="F202" t="s">
        <v>173</v>
      </c>
      <c r="G202" t="s">
        <v>135</v>
      </c>
      <c r="H202" t="s">
        <v>58</v>
      </c>
      <c r="I202">
        <v>8</v>
      </c>
      <c r="J202">
        <v>147.87</v>
      </c>
      <c r="K202">
        <v>1182.96</v>
      </c>
    </row>
    <row r="203" spans="1:11">
      <c r="A203" t="s">
        <v>310</v>
      </c>
      <c r="B203" s="1">
        <v>45866</v>
      </c>
      <c r="C203" t="s">
        <v>24</v>
      </c>
      <c r="D203" t="s">
        <v>83</v>
      </c>
      <c r="E203" t="s">
        <v>11</v>
      </c>
      <c r="F203" t="s">
        <v>129</v>
      </c>
      <c r="G203" t="s">
        <v>84</v>
      </c>
      <c r="H203" t="s">
        <v>58</v>
      </c>
      <c r="I203">
        <v>5</v>
      </c>
      <c r="J203">
        <v>295.52999999999997</v>
      </c>
      <c r="K203">
        <v>1477.65</v>
      </c>
    </row>
    <row r="204" spans="1:11">
      <c r="A204" t="s">
        <v>311</v>
      </c>
      <c r="B204" s="1">
        <v>45886</v>
      </c>
      <c r="C204" t="s">
        <v>41</v>
      </c>
      <c r="D204" t="s">
        <v>76</v>
      </c>
      <c r="E204" t="s">
        <v>11</v>
      </c>
      <c r="F204" t="s">
        <v>112</v>
      </c>
      <c r="G204" t="s">
        <v>135</v>
      </c>
      <c r="H204" t="s">
        <v>1</v>
      </c>
      <c r="I204">
        <v>10</v>
      </c>
      <c r="J204">
        <v>347.6</v>
      </c>
      <c r="K204">
        <v>3476</v>
      </c>
    </row>
    <row r="205" spans="1:11">
      <c r="A205" t="s">
        <v>312</v>
      </c>
      <c r="B205" s="1">
        <v>45725</v>
      </c>
      <c r="C205" t="s">
        <v>24</v>
      </c>
      <c r="D205" t="s">
        <v>83</v>
      </c>
      <c r="E205" t="s">
        <v>10</v>
      </c>
      <c r="F205" t="s">
        <v>73</v>
      </c>
      <c r="G205" t="s">
        <v>94</v>
      </c>
      <c r="H205" t="s">
        <v>1</v>
      </c>
      <c r="I205">
        <v>9</v>
      </c>
      <c r="J205">
        <v>616.30999999999995</v>
      </c>
      <c r="K205">
        <v>5546.79</v>
      </c>
    </row>
    <row r="206" spans="1:11">
      <c r="A206" t="s">
        <v>313</v>
      </c>
      <c r="B206" s="1">
        <v>45874</v>
      </c>
      <c r="C206" t="s">
        <v>24</v>
      </c>
      <c r="D206" t="s">
        <v>72</v>
      </c>
      <c r="E206" t="s">
        <v>10</v>
      </c>
      <c r="F206" t="s">
        <v>73</v>
      </c>
      <c r="G206" t="s">
        <v>99</v>
      </c>
      <c r="H206" t="s">
        <v>58</v>
      </c>
      <c r="I206">
        <v>3</v>
      </c>
      <c r="J206">
        <v>622.33000000000004</v>
      </c>
      <c r="K206">
        <v>1866.99</v>
      </c>
    </row>
    <row r="207" spans="1:11">
      <c r="A207" t="s">
        <v>314</v>
      </c>
      <c r="B207" s="1">
        <v>46014</v>
      </c>
      <c r="C207" t="s">
        <v>42</v>
      </c>
      <c r="D207" t="s">
        <v>122</v>
      </c>
      <c r="E207" t="s">
        <v>12</v>
      </c>
      <c r="F207" t="s">
        <v>160</v>
      </c>
      <c r="G207" t="s">
        <v>78</v>
      </c>
      <c r="H207" t="s">
        <v>58</v>
      </c>
      <c r="I207">
        <v>10</v>
      </c>
      <c r="J207">
        <v>1830.82</v>
      </c>
      <c r="K207">
        <v>18308.2</v>
      </c>
    </row>
    <row r="208" spans="1:11">
      <c r="A208" t="s">
        <v>315</v>
      </c>
      <c r="B208" s="1">
        <v>46017</v>
      </c>
      <c r="C208" t="s">
        <v>3</v>
      </c>
      <c r="D208" t="s">
        <v>101</v>
      </c>
      <c r="E208" t="s">
        <v>15</v>
      </c>
      <c r="F208" t="s">
        <v>102</v>
      </c>
      <c r="G208" t="s">
        <v>74</v>
      </c>
      <c r="H208" t="s">
        <v>1</v>
      </c>
      <c r="I208">
        <v>9</v>
      </c>
      <c r="J208">
        <v>153.16</v>
      </c>
      <c r="K208">
        <v>1378.44</v>
      </c>
    </row>
    <row r="209" spans="1:11">
      <c r="A209" t="s">
        <v>316</v>
      </c>
      <c r="B209" s="1">
        <v>45749</v>
      </c>
      <c r="C209" t="s">
        <v>3</v>
      </c>
      <c r="D209" t="s">
        <v>101</v>
      </c>
      <c r="E209" t="s">
        <v>12</v>
      </c>
      <c r="F209" t="s">
        <v>97</v>
      </c>
      <c r="G209" t="s">
        <v>99</v>
      </c>
      <c r="H209" t="s">
        <v>1</v>
      </c>
      <c r="I209">
        <v>4</v>
      </c>
      <c r="J209">
        <v>482.43</v>
      </c>
      <c r="K209">
        <v>1929.72</v>
      </c>
    </row>
    <row r="210" spans="1:11">
      <c r="A210" t="s">
        <v>317</v>
      </c>
      <c r="B210" s="1">
        <v>45972</v>
      </c>
      <c r="C210" t="s">
        <v>41</v>
      </c>
      <c r="D210" t="s">
        <v>96</v>
      </c>
      <c r="E210" t="s">
        <v>10</v>
      </c>
      <c r="F210" t="s">
        <v>73</v>
      </c>
      <c r="G210" t="s">
        <v>120</v>
      </c>
      <c r="H210" t="s">
        <v>58</v>
      </c>
      <c r="I210">
        <v>6</v>
      </c>
      <c r="J210">
        <v>606.32000000000005</v>
      </c>
      <c r="K210">
        <v>3637.92</v>
      </c>
    </row>
    <row r="211" spans="1:11">
      <c r="A211" t="s">
        <v>318</v>
      </c>
      <c r="B211" s="1">
        <v>45827</v>
      </c>
      <c r="C211" t="s">
        <v>41</v>
      </c>
      <c r="D211" t="s">
        <v>96</v>
      </c>
      <c r="E211" t="s">
        <v>12</v>
      </c>
      <c r="F211" t="s">
        <v>160</v>
      </c>
      <c r="G211" t="s">
        <v>99</v>
      </c>
      <c r="H211" t="s">
        <v>58</v>
      </c>
      <c r="I211">
        <v>8</v>
      </c>
      <c r="J211">
        <v>1779.55</v>
      </c>
      <c r="K211">
        <v>14236.4</v>
      </c>
    </row>
    <row r="212" spans="1:11">
      <c r="A212" t="s">
        <v>319</v>
      </c>
      <c r="B212" s="1">
        <v>45678</v>
      </c>
      <c r="C212" t="s">
        <v>3</v>
      </c>
      <c r="D212" t="s">
        <v>89</v>
      </c>
      <c r="E212" t="s">
        <v>15</v>
      </c>
      <c r="F212" t="s">
        <v>102</v>
      </c>
      <c r="G212" t="s">
        <v>94</v>
      </c>
      <c r="H212" t="s">
        <v>58</v>
      </c>
      <c r="I212">
        <v>7</v>
      </c>
      <c r="J212">
        <v>146.84</v>
      </c>
      <c r="K212">
        <v>1027.8800000000001</v>
      </c>
    </row>
    <row r="213" spans="1:11">
      <c r="A213" t="s">
        <v>320</v>
      </c>
      <c r="B213" s="1">
        <v>45856</v>
      </c>
      <c r="C213" t="s">
        <v>24</v>
      </c>
      <c r="D213" t="s">
        <v>83</v>
      </c>
      <c r="E213" t="s">
        <v>13</v>
      </c>
      <c r="F213" t="s">
        <v>87</v>
      </c>
      <c r="G213" t="s">
        <v>99</v>
      </c>
      <c r="H213" t="s">
        <v>58</v>
      </c>
      <c r="I213">
        <v>3</v>
      </c>
      <c r="J213">
        <v>755.64</v>
      </c>
      <c r="K213">
        <v>2266.92</v>
      </c>
    </row>
    <row r="214" spans="1:11">
      <c r="A214" t="s">
        <v>321</v>
      </c>
      <c r="B214" s="1">
        <v>45733</v>
      </c>
      <c r="C214" t="s">
        <v>24</v>
      </c>
      <c r="D214" t="s">
        <v>83</v>
      </c>
      <c r="E214" t="s">
        <v>12</v>
      </c>
      <c r="F214" t="s">
        <v>178</v>
      </c>
      <c r="G214" t="s">
        <v>81</v>
      </c>
      <c r="H214" t="s">
        <v>1</v>
      </c>
      <c r="I214">
        <v>7</v>
      </c>
      <c r="J214">
        <v>1463.18</v>
      </c>
      <c r="K214">
        <v>10242.26</v>
      </c>
    </row>
    <row r="215" spans="1:11">
      <c r="A215" t="s">
        <v>322</v>
      </c>
      <c r="B215" s="1">
        <v>45879</v>
      </c>
      <c r="C215" t="s">
        <v>41</v>
      </c>
      <c r="D215" t="s">
        <v>76</v>
      </c>
      <c r="E215" t="s">
        <v>13</v>
      </c>
      <c r="F215" t="s">
        <v>110</v>
      </c>
      <c r="G215" t="s">
        <v>78</v>
      </c>
      <c r="H215" t="s">
        <v>1</v>
      </c>
      <c r="I215">
        <v>10</v>
      </c>
      <c r="J215">
        <v>915.45</v>
      </c>
      <c r="K215">
        <v>9154.5</v>
      </c>
    </row>
    <row r="216" spans="1:11">
      <c r="A216" t="s">
        <v>323</v>
      </c>
      <c r="B216" s="1">
        <v>45985</v>
      </c>
      <c r="C216" t="s">
        <v>24</v>
      </c>
      <c r="D216" t="s">
        <v>83</v>
      </c>
      <c r="E216" t="s">
        <v>15</v>
      </c>
      <c r="F216" t="s">
        <v>102</v>
      </c>
      <c r="G216" t="s">
        <v>78</v>
      </c>
      <c r="H216" t="s">
        <v>1</v>
      </c>
      <c r="I216">
        <v>10</v>
      </c>
      <c r="J216">
        <v>151.31</v>
      </c>
      <c r="K216">
        <v>1513.1</v>
      </c>
    </row>
    <row r="217" spans="1:11">
      <c r="A217" t="s">
        <v>324</v>
      </c>
      <c r="B217" s="1">
        <v>45668</v>
      </c>
      <c r="C217" t="s">
        <v>41</v>
      </c>
      <c r="D217" t="s">
        <v>76</v>
      </c>
      <c r="E217" t="s">
        <v>14</v>
      </c>
      <c r="F217" t="s">
        <v>93</v>
      </c>
      <c r="G217" t="s">
        <v>81</v>
      </c>
      <c r="H217" t="s">
        <v>58</v>
      </c>
      <c r="I217">
        <v>7</v>
      </c>
      <c r="J217">
        <v>1448.35</v>
      </c>
      <c r="K217">
        <v>10138.450000000001</v>
      </c>
    </row>
    <row r="218" spans="1:11">
      <c r="A218" t="s">
        <v>325</v>
      </c>
      <c r="B218" s="1">
        <v>45683</v>
      </c>
      <c r="C218" t="s">
        <v>24</v>
      </c>
      <c r="D218" t="s">
        <v>83</v>
      </c>
      <c r="E218" t="s">
        <v>11</v>
      </c>
      <c r="F218" t="s">
        <v>90</v>
      </c>
      <c r="G218" t="s">
        <v>84</v>
      </c>
      <c r="H218" t="s">
        <v>1</v>
      </c>
      <c r="I218">
        <v>5</v>
      </c>
      <c r="J218">
        <v>198.19</v>
      </c>
      <c r="K218">
        <v>990.95</v>
      </c>
    </row>
    <row r="219" spans="1:11">
      <c r="A219" t="s">
        <v>326</v>
      </c>
      <c r="B219" s="1">
        <v>45968</v>
      </c>
      <c r="C219" t="s">
        <v>41</v>
      </c>
      <c r="D219" t="s">
        <v>147</v>
      </c>
      <c r="E219" t="s">
        <v>12</v>
      </c>
      <c r="F219" t="s">
        <v>160</v>
      </c>
      <c r="G219" t="s">
        <v>120</v>
      </c>
      <c r="H219" t="s">
        <v>1</v>
      </c>
      <c r="I219">
        <v>10</v>
      </c>
      <c r="J219">
        <v>1802.73</v>
      </c>
      <c r="K219">
        <v>18027.3</v>
      </c>
    </row>
    <row r="220" spans="1:11">
      <c r="A220" t="s">
        <v>327</v>
      </c>
      <c r="B220" s="1">
        <v>45752</v>
      </c>
      <c r="C220" t="s">
        <v>41</v>
      </c>
      <c r="D220" t="s">
        <v>96</v>
      </c>
      <c r="E220" t="s">
        <v>13</v>
      </c>
      <c r="F220" t="s">
        <v>123</v>
      </c>
      <c r="G220" t="s">
        <v>81</v>
      </c>
      <c r="H220" t="s">
        <v>1</v>
      </c>
      <c r="I220">
        <v>7</v>
      </c>
      <c r="J220">
        <v>1205.2</v>
      </c>
      <c r="K220">
        <v>8436.4</v>
      </c>
    </row>
    <row r="221" spans="1:11">
      <c r="A221" t="s">
        <v>328</v>
      </c>
      <c r="B221" s="1">
        <v>45879</v>
      </c>
      <c r="C221" t="s">
        <v>24</v>
      </c>
      <c r="D221" t="s">
        <v>83</v>
      </c>
      <c r="E221" t="s">
        <v>10</v>
      </c>
      <c r="F221" t="s">
        <v>142</v>
      </c>
      <c r="G221" t="s">
        <v>84</v>
      </c>
      <c r="H221" t="s">
        <v>58</v>
      </c>
      <c r="I221">
        <v>3</v>
      </c>
      <c r="J221">
        <v>1243.5899999999999</v>
      </c>
      <c r="K221">
        <v>3730.77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ferenceId xmlns="29599806-2f79-4813-af4b-0c7d94b1b24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93B0DD2449FB44F8BC63B17280CFB1D" ma:contentTypeVersion="4" ma:contentTypeDescription="Create a new document." ma:contentTypeScope="" ma:versionID="6b0b8abcb72ff9a3a596902fcc51e3f1">
  <xsd:schema xmlns:xsd="http://www.w3.org/2001/XMLSchema" xmlns:xs="http://www.w3.org/2001/XMLSchema" xmlns:p="http://schemas.microsoft.com/office/2006/metadata/properties" xmlns:ns2="29599806-2f79-4813-af4b-0c7d94b1b247" targetNamespace="http://schemas.microsoft.com/office/2006/metadata/properties" ma:root="true" ma:fieldsID="cf88689ee7e8f5c99f66913663dbf248" ns2:_="">
    <xsd:import namespace="29599806-2f79-4813-af4b-0c7d94b1b247"/>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599806-2f79-4813-af4b-0c7d94b1b247"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355EA2-5AD9-48F5-ACD5-B3FCE46960EC}"/>
</file>

<file path=customXml/itemProps2.xml><?xml version="1.0" encoding="utf-8"?>
<ds:datastoreItem xmlns:ds="http://schemas.openxmlformats.org/officeDocument/2006/customXml" ds:itemID="{828A76E8-8E8B-43D2-8DD2-1743EC5F8E2F}"/>
</file>

<file path=customXml/itemProps3.xml><?xml version="1.0" encoding="utf-8"?>
<ds:datastoreItem xmlns:ds="http://schemas.openxmlformats.org/officeDocument/2006/customXml" ds:itemID="{12B8062D-BD15-4757-87DA-48623DE466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Soni Bhambar</dc:creator>
  <cp:keywords/>
  <dc:description/>
  <cp:lastModifiedBy>Soni Bhambar</cp:lastModifiedBy>
  <cp:revision/>
  <dcterms:created xsi:type="dcterms:W3CDTF">2026-09-04T11:30:53Z</dcterms:created>
  <dcterms:modified xsi:type="dcterms:W3CDTF">2026-09-09T06:15:02Z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0x010100893B0DD2449FB44F8BC63B17280CFB1D</vt:lpwstr>
  </property>
</Properties>
</file>