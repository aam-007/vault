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itya\mainframe\vault\sem_3\assignments\SDA\"/>
    </mc:Choice>
  </mc:AlternateContent>
  <xr:revisionPtr revIDLastSave="0" documentId="13_ncr:1_{92F9EC43-356C-4B87-87B3-E7EF118D3791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Inventory" sheetId="1" r:id="rId1"/>
    <sheet name="Sales" sheetId="2" r:id="rId2"/>
    <sheet name="QuarterlyTargets" sheetId="3" r:id="rId3"/>
    <sheet name="Markup" sheetId="4" r:id="rId4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H2" i="4"/>
  <c r="I5" i="3"/>
  <c r="H5" i="3"/>
  <c r="I4" i="3"/>
  <c r="H4" i="3"/>
  <c r="I3" i="3"/>
  <c r="H3" i="3"/>
  <c r="I2" i="3"/>
  <c r="H2" i="3"/>
  <c r="D37" i="2"/>
  <c r="D36" i="2"/>
  <c r="D35" i="2"/>
  <c r="M31" i="2"/>
  <c r="N31" i="2" s="1"/>
  <c r="L31" i="2"/>
  <c r="K31" i="2"/>
  <c r="J31" i="2"/>
  <c r="I31" i="2"/>
  <c r="H31" i="2"/>
  <c r="G31" i="2"/>
  <c r="F31" i="2"/>
  <c r="M30" i="2"/>
  <c r="N30" i="2" s="1"/>
  <c r="L30" i="2"/>
  <c r="K30" i="2"/>
  <c r="J30" i="2"/>
  <c r="I30" i="2"/>
  <c r="H30" i="2"/>
  <c r="G30" i="2"/>
  <c r="F30" i="2"/>
  <c r="M29" i="2"/>
  <c r="N29" i="2" s="1"/>
  <c r="L29" i="2"/>
  <c r="K29" i="2"/>
  <c r="J29" i="2"/>
  <c r="I29" i="2"/>
  <c r="H29" i="2"/>
  <c r="G29" i="2"/>
  <c r="F29" i="2"/>
  <c r="M28" i="2"/>
  <c r="N28" i="2" s="1"/>
  <c r="L28" i="2"/>
  <c r="K28" i="2"/>
  <c r="J28" i="2"/>
  <c r="I28" i="2"/>
  <c r="H28" i="2"/>
  <c r="G28" i="2"/>
  <c r="F28" i="2"/>
  <c r="M27" i="2"/>
  <c r="N27" i="2" s="1"/>
  <c r="L27" i="2"/>
  <c r="K27" i="2"/>
  <c r="J27" i="2"/>
  <c r="I27" i="2"/>
  <c r="H27" i="2"/>
  <c r="G27" i="2"/>
  <c r="F27" i="2"/>
  <c r="M26" i="2"/>
  <c r="N26" i="2" s="1"/>
  <c r="L26" i="2"/>
  <c r="K26" i="2"/>
  <c r="J26" i="2"/>
  <c r="I26" i="2"/>
  <c r="H26" i="2"/>
  <c r="G26" i="2"/>
  <c r="F26" i="2"/>
  <c r="M25" i="2"/>
  <c r="N25" i="2" s="1"/>
  <c r="L25" i="2"/>
  <c r="K25" i="2"/>
  <c r="J25" i="2"/>
  <c r="I25" i="2"/>
  <c r="H25" i="2"/>
  <c r="G25" i="2"/>
  <c r="F25" i="2"/>
  <c r="M24" i="2"/>
  <c r="N24" i="2" s="1"/>
  <c r="L24" i="2"/>
  <c r="K24" i="2"/>
  <c r="J24" i="2"/>
  <c r="I24" i="2"/>
  <c r="H24" i="2"/>
  <c r="G24" i="2"/>
  <c r="F24" i="2"/>
  <c r="M23" i="2"/>
  <c r="N23" i="2" s="1"/>
  <c r="L23" i="2"/>
  <c r="K23" i="2"/>
  <c r="J23" i="2"/>
  <c r="I23" i="2"/>
  <c r="H23" i="2"/>
  <c r="G23" i="2"/>
  <c r="F23" i="2"/>
  <c r="N22" i="2"/>
  <c r="M22" i="2"/>
  <c r="L22" i="2"/>
  <c r="K22" i="2"/>
  <c r="J22" i="2"/>
  <c r="I22" i="2"/>
  <c r="H22" i="2"/>
  <c r="G22" i="2"/>
  <c r="F22" i="2"/>
  <c r="M21" i="2"/>
  <c r="N21" i="2" s="1"/>
  <c r="L21" i="2"/>
  <c r="K21" i="2"/>
  <c r="J21" i="2"/>
  <c r="I21" i="2"/>
  <c r="H21" i="2"/>
  <c r="G21" i="2"/>
  <c r="F21" i="2"/>
  <c r="M20" i="2"/>
  <c r="N20" i="2" s="1"/>
  <c r="L20" i="2"/>
  <c r="K20" i="2"/>
  <c r="J20" i="2"/>
  <c r="I20" i="2"/>
  <c r="H20" i="2"/>
  <c r="G20" i="2"/>
  <c r="F20" i="2"/>
  <c r="M19" i="2"/>
  <c r="N19" i="2" s="1"/>
  <c r="L19" i="2"/>
  <c r="K19" i="2"/>
  <c r="J19" i="2"/>
  <c r="I19" i="2"/>
  <c r="H19" i="2"/>
  <c r="G19" i="2"/>
  <c r="F19" i="2"/>
  <c r="M18" i="2"/>
  <c r="N18" i="2" s="1"/>
  <c r="O18" i="2" s="1"/>
  <c r="P18" i="2" s="1"/>
  <c r="L18" i="2"/>
  <c r="K18" i="2"/>
  <c r="J18" i="2"/>
  <c r="I18" i="2"/>
  <c r="H18" i="2"/>
  <c r="G18" i="2"/>
  <c r="F18" i="2"/>
  <c r="M17" i="2"/>
  <c r="N17" i="2" s="1"/>
  <c r="L17" i="2"/>
  <c r="K17" i="2"/>
  <c r="J17" i="2"/>
  <c r="I17" i="2"/>
  <c r="H17" i="2"/>
  <c r="G17" i="2"/>
  <c r="F17" i="2"/>
  <c r="M16" i="2"/>
  <c r="N16" i="2" s="1"/>
  <c r="L16" i="2"/>
  <c r="K16" i="2"/>
  <c r="J16" i="2"/>
  <c r="I16" i="2"/>
  <c r="H16" i="2"/>
  <c r="G16" i="2"/>
  <c r="F16" i="2"/>
  <c r="M15" i="2"/>
  <c r="N15" i="2" s="1"/>
  <c r="L15" i="2"/>
  <c r="K15" i="2"/>
  <c r="J15" i="2"/>
  <c r="I15" i="2"/>
  <c r="H15" i="2"/>
  <c r="G15" i="2"/>
  <c r="F15" i="2"/>
  <c r="M14" i="2"/>
  <c r="N14" i="2" s="1"/>
  <c r="L14" i="2"/>
  <c r="K14" i="2"/>
  <c r="J14" i="2"/>
  <c r="I14" i="2"/>
  <c r="H14" i="2"/>
  <c r="G14" i="2"/>
  <c r="F14" i="2"/>
  <c r="M13" i="2"/>
  <c r="N13" i="2" s="1"/>
  <c r="L13" i="2"/>
  <c r="K13" i="2"/>
  <c r="J13" i="2"/>
  <c r="I13" i="2"/>
  <c r="H13" i="2"/>
  <c r="G13" i="2"/>
  <c r="F13" i="2"/>
  <c r="M12" i="2"/>
  <c r="N12" i="2" s="1"/>
  <c r="L12" i="2"/>
  <c r="K12" i="2"/>
  <c r="J12" i="2"/>
  <c r="I12" i="2"/>
  <c r="H12" i="2"/>
  <c r="G12" i="2"/>
  <c r="F12" i="2"/>
  <c r="M11" i="2"/>
  <c r="N11" i="2" s="1"/>
  <c r="L11" i="2"/>
  <c r="K11" i="2"/>
  <c r="J11" i="2"/>
  <c r="I11" i="2"/>
  <c r="H11" i="2"/>
  <c r="G11" i="2"/>
  <c r="F11" i="2"/>
  <c r="M10" i="2"/>
  <c r="N10" i="2" s="1"/>
  <c r="L10" i="2"/>
  <c r="K10" i="2"/>
  <c r="J10" i="2"/>
  <c r="I10" i="2"/>
  <c r="H10" i="2"/>
  <c r="G10" i="2"/>
  <c r="F10" i="2"/>
  <c r="M9" i="2"/>
  <c r="N9" i="2" s="1"/>
  <c r="L9" i="2"/>
  <c r="K9" i="2"/>
  <c r="J9" i="2"/>
  <c r="I9" i="2"/>
  <c r="H9" i="2"/>
  <c r="G9" i="2"/>
  <c r="F9" i="2"/>
  <c r="M8" i="2"/>
  <c r="N8" i="2" s="1"/>
  <c r="L8" i="2"/>
  <c r="K8" i="2"/>
  <c r="J8" i="2"/>
  <c r="I8" i="2"/>
  <c r="H8" i="2"/>
  <c r="G8" i="2"/>
  <c r="F8" i="2"/>
  <c r="M7" i="2"/>
  <c r="N7" i="2" s="1"/>
  <c r="L7" i="2"/>
  <c r="K7" i="2"/>
  <c r="J7" i="2"/>
  <c r="I7" i="2"/>
  <c r="H7" i="2"/>
  <c r="G7" i="2"/>
  <c r="F7" i="2"/>
  <c r="M6" i="2"/>
  <c r="N6" i="2" s="1"/>
  <c r="L6" i="2"/>
  <c r="K6" i="2"/>
  <c r="J6" i="2"/>
  <c r="I6" i="2"/>
  <c r="H6" i="2"/>
  <c r="G6" i="2"/>
  <c r="F6" i="2"/>
  <c r="M5" i="2"/>
  <c r="N5" i="2" s="1"/>
  <c r="L5" i="2"/>
  <c r="K5" i="2"/>
  <c r="J5" i="2"/>
  <c r="I5" i="2"/>
  <c r="H5" i="2"/>
  <c r="G5" i="2"/>
  <c r="F5" i="2"/>
  <c r="M4" i="2"/>
  <c r="N4" i="2" s="1"/>
  <c r="L4" i="2"/>
  <c r="K4" i="2"/>
  <c r="J4" i="2"/>
  <c r="I4" i="2"/>
  <c r="H4" i="2"/>
  <c r="G4" i="2"/>
  <c r="F4" i="2"/>
  <c r="M3" i="2"/>
  <c r="N3" i="2" s="1"/>
  <c r="L3" i="2"/>
  <c r="K3" i="2"/>
  <c r="J3" i="2"/>
  <c r="I3" i="2"/>
  <c r="H3" i="2"/>
  <c r="G3" i="2"/>
  <c r="F3" i="2"/>
  <c r="M2" i="2"/>
  <c r="N2" i="2" s="1"/>
  <c r="O2" i="2" s="1"/>
  <c r="P2" i="2" s="1"/>
  <c r="L2" i="2"/>
  <c r="K2" i="2"/>
  <c r="J2" i="2"/>
  <c r="I2" i="2"/>
  <c r="H2" i="2"/>
  <c r="G2" i="2"/>
  <c r="F2" i="2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J3" i="1"/>
  <c r="G3" i="1"/>
  <c r="J2" i="1"/>
  <c r="G2" i="1"/>
  <c r="O16" i="2" l="1"/>
  <c r="P16" i="2" s="1"/>
  <c r="O15" i="2"/>
  <c r="P15" i="2" s="1"/>
  <c r="O10" i="2"/>
  <c r="P10" i="2" s="1"/>
  <c r="O3" i="2"/>
  <c r="P3" i="2" s="1"/>
  <c r="O5" i="2"/>
  <c r="P5" i="2" s="1"/>
  <c r="O7" i="2"/>
  <c r="P7" i="2" s="1"/>
  <c r="O9" i="2"/>
  <c r="P9" i="2" s="1"/>
  <c r="O13" i="2"/>
  <c r="P13" i="2" s="1"/>
  <c r="O17" i="2"/>
  <c r="P17" i="2" s="1"/>
  <c r="O19" i="2"/>
  <c r="P19" i="2" s="1"/>
  <c r="O26" i="2"/>
  <c r="P26" i="2" s="1"/>
  <c r="O11" i="2"/>
  <c r="P11" i="2" s="1"/>
  <c r="O21" i="2"/>
  <c r="P21" i="2"/>
  <c r="O14" i="2"/>
  <c r="P14" i="2" s="1"/>
  <c r="O28" i="2"/>
  <c r="P28" i="2" s="1"/>
  <c r="O23" i="2"/>
  <c r="P23" i="2" s="1"/>
  <c r="O31" i="2"/>
  <c r="P31" i="2" s="1"/>
  <c r="O12" i="2"/>
  <c r="P12" i="2" s="1"/>
  <c r="O30" i="2"/>
  <c r="P30" i="2" s="1"/>
  <c r="O25" i="2"/>
  <c r="P25" i="2" s="1"/>
  <c r="O27" i="2"/>
  <c r="P27" i="2"/>
  <c r="O29" i="2"/>
  <c r="P29" i="2" s="1"/>
  <c r="O20" i="2"/>
  <c r="P20" i="2" s="1"/>
  <c r="O24" i="2"/>
  <c r="P24" i="2" s="1"/>
  <c r="O4" i="2"/>
  <c r="P4" i="2" s="1"/>
  <c r="O8" i="2"/>
  <c r="P8" i="2" s="1"/>
  <c r="O6" i="2"/>
  <c r="P6" i="2" s="1"/>
  <c r="O22" i="2"/>
  <c r="P22" i="2" s="1"/>
</calcChain>
</file>

<file path=xl/sharedStrings.xml><?xml version="1.0" encoding="utf-8"?>
<sst xmlns="http://schemas.openxmlformats.org/spreadsheetml/2006/main" count="213" uniqueCount="119">
  <si>
    <t>Product Code</t>
  </si>
  <si>
    <t>Product Name</t>
  </si>
  <si>
    <t>Category</t>
  </si>
  <si>
    <t>Unit Price</t>
  </si>
  <si>
    <t>Stock Qty</t>
  </si>
  <si>
    <t>Reorder Level</t>
  </si>
  <si>
    <t>Stock Variance</t>
  </si>
  <si>
    <t>Verification Summary</t>
  </si>
  <si>
    <t>P001</t>
  </si>
  <si>
    <t>Wireless Mouse</t>
  </si>
  <si>
    <t>Electronics</t>
  </si>
  <si>
    <t>Low-stock products</t>
  </si>
  <si>
    <t>P002</t>
  </si>
  <si>
    <t>USB Cable</t>
  </si>
  <si>
    <t>High-value products</t>
  </si>
  <si>
    <t>P003</t>
  </si>
  <si>
    <t>Bluetooth Speaker</t>
  </si>
  <si>
    <t>P004</t>
  </si>
  <si>
    <t>Notebook Pack</t>
  </si>
  <si>
    <t>Stationery</t>
  </si>
  <si>
    <t>P005</t>
  </si>
  <si>
    <t>Gel Pen Set</t>
  </si>
  <si>
    <t>P006</t>
  </si>
  <si>
    <t>Sketch Book</t>
  </si>
  <si>
    <t>P007</t>
  </si>
  <si>
    <t>Face Wash</t>
  </si>
  <si>
    <t>Beauty</t>
  </si>
  <si>
    <t>P008</t>
  </si>
  <si>
    <t>Moisturizer</t>
  </si>
  <si>
    <t>P009</t>
  </si>
  <si>
    <t>Lipstick</t>
  </si>
  <si>
    <t>P010</t>
  </si>
  <si>
    <t>Cotton T-Shirt</t>
  </si>
  <si>
    <t>Apparel</t>
  </si>
  <si>
    <t>P011</t>
  </si>
  <si>
    <t>Denim Jeans</t>
  </si>
  <si>
    <t>P012</t>
  </si>
  <si>
    <t>Running Shoes</t>
  </si>
  <si>
    <t>Sports</t>
  </si>
  <si>
    <t>P013</t>
  </si>
  <si>
    <t>Cricket Bat</t>
  </si>
  <si>
    <t>P014</t>
  </si>
  <si>
    <t>Yoga Mat</t>
  </si>
  <si>
    <t>P015</t>
  </si>
  <si>
    <t>Desk Lamp</t>
  </si>
  <si>
    <t>Home &amp; Kitchen</t>
  </si>
  <si>
    <t>P016</t>
  </si>
  <si>
    <t>Non-Stick Pan</t>
  </si>
  <si>
    <t>P017</t>
  </si>
  <si>
    <t>Bluetooth Earbuds</t>
  </si>
  <si>
    <t>P018</t>
  </si>
  <si>
    <t>Water Bottle</t>
  </si>
  <si>
    <t>P019</t>
  </si>
  <si>
    <t>Table Lamp</t>
  </si>
  <si>
    <t>P020</t>
  </si>
  <si>
    <t>Hair Dryer</t>
  </si>
  <si>
    <t>Transaction ID</t>
  </si>
  <si>
    <t>Date</t>
  </si>
  <si>
    <t>Qty</t>
  </si>
  <si>
    <t>Region</t>
  </si>
  <si>
    <t>Lookup Status</t>
  </si>
  <si>
    <t>Product Name(Index-Match)</t>
  </si>
  <si>
    <t>Product Name (XLookup)</t>
  </si>
  <si>
    <t>Markup %</t>
  </si>
  <si>
    <t>Bulk-Adjusted Markup %</t>
  </si>
  <si>
    <t>Sales Amount</t>
  </si>
  <si>
    <t>Commission %</t>
  </si>
  <si>
    <t>Commission Amount</t>
  </si>
  <si>
    <t>TXN014</t>
  </si>
  <si>
    <t>North</t>
  </si>
  <si>
    <t>TXN027</t>
  </si>
  <si>
    <t>East</t>
  </si>
  <si>
    <t>TXN003</t>
  </si>
  <si>
    <t>South</t>
  </si>
  <si>
    <t>TXN021</t>
  </si>
  <si>
    <t>West</t>
  </si>
  <si>
    <t>TXN020</t>
  </si>
  <si>
    <t>TXN022</t>
  </si>
  <si>
    <t>TXN012</t>
  </si>
  <si>
    <t>TXN010</t>
  </si>
  <si>
    <t>TXN026</t>
  </si>
  <si>
    <t>TXN018</t>
  </si>
  <si>
    <t>TXN015</t>
  </si>
  <si>
    <t>TXN029</t>
  </si>
  <si>
    <t>P099</t>
  </si>
  <si>
    <t>TXN030</t>
  </si>
  <si>
    <t>P077</t>
  </si>
  <si>
    <t>TXN001</t>
  </si>
  <si>
    <t>TXN028</t>
  </si>
  <si>
    <t>P098</t>
  </si>
  <si>
    <t>TXN008</t>
  </si>
  <si>
    <t>TXN005</t>
  </si>
  <si>
    <t>TXN019</t>
  </si>
  <si>
    <t>TXN004</t>
  </si>
  <si>
    <t>TXN023</t>
  </si>
  <si>
    <t>TXN024</t>
  </si>
  <si>
    <t>TXN011</t>
  </si>
  <si>
    <t>TXN017</t>
  </si>
  <si>
    <t>TXN007</t>
  </si>
  <si>
    <t>TXN016</t>
  </si>
  <si>
    <t>TXN013</t>
  </si>
  <si>
    <t>TXN006</t>
  </si>
  <si>
    <t>TXN002</t>
  </si>
  <si>
    <t>TXN025</t>
  </si>
  <si>
    <t>TXN009</t>
  </si>
  <si>
    <t>Lookup Verification and Data Quality</t>
  </si>
  <si>
    <t>Approximate VLOOKUP test for P018</t>
  </si>
  <si>
    <t>Exact VLOOKUP test for P018</t>
  </si>
  <si>
    <t>Rows requiring review</t>
  </si>
  <si>
    <t>Why FALSE matters: without FALSE, VLOOKUP uses approximate matching and can silently return the nearest lower key. That is safe only when the lookup column is sorted ascending and approximate matching is intentional.</t>
  </si>
  <si>
    <t>Q1 Target</t>
  </si>
  <si>
    <t>Q2 Target</t>
  </si>
  <si>
    <t>Q3 Target</t>
  </si>
  <si>
    <t>Q4 Target</t>
  </si>
  <si>
    <t>Q3 Target (HLOOKUP)</t>
  </si>
  <si>
    <t>Q4 Target (HLOOKUP)</t>
  </si>
  <si>
    <t>Two-Way Lookup Verification</t>
  </si>
  <si>
    <t>P003 / East</t>
  </si>
  <si>
    <t>P008 /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</si>
</sst>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8">
    <font>
      <sz val="11"/>
      <name val="Carlito"/>
    </font>
    <font>
      <b/>
      <sz val="10"/>
      <color rgb="FFFFFFFF"/>
      <name val="Arial"/>
    </font>
    <font>
      <sz val="10"/>
      <color rgb="FF1F1F1F"/>
      <name val="Arial"/>
    </font>
    <font>
      <b/>
      <sz val="10"/>
      <color rgb="FF1F1F1F"/>
      <name val="Arial"/>
    </font>
    <font>
      <b/>
      <sz val="10"/>
      <name val="Arial"/>
    </font>
    <font>
      <b/>
      <sz val="11"/>
      <color rgb="FF375623"/>
      <name val="Arial"/>
    </font>
    <font>
      <i/>
      <sz val="10"/>
      <color rgb="FF404040"/>
      <name val="Arial"/>
    </font>
    <font>
      <b/>
      <sz val="10"/>
      <color rgb="FF375623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9EADBA"/>
      </left>
      <right style="thin">
        <color rgb="FF9EADBA"/>
      </right>
      <top style="thin">
        <color rgb="FF9EADBA"/>
      </top>
      <bottom style="thin">
        <color rgb="FF9EADBA"/>
      </bottom>
      <diagonal/>
    </border>
    <border>
      <left style="medium">
        <color rgb="FF5B9BD5"/>
      </left>
      <right/>
      <top style="medium">
        <color rgb="FF5B9BD5"/>
      </top>
      <bottom style="medium">
        <color rgb="FF5B9BD5"/>
      </bottom>
      <diagonal/>
    </border>
    <border>
      <left/>
      <right style="medium">
        <color rgb="FF5B9BD5"/>
      </right>
      <top style="medium">
        <color rgb="FF5B9BD5"/>
      </top>
      <bottom style="medium">
        <color rgb="FF5B9BD5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/>
      <right/>
      <top style="medium">
        <color rgb="FF5B9BD5"/>
      </top>
      <bottom style="medium">
        <color rgb="FF5B9BD5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4" xfId="0" applyBorder="1"/>
    <xf numFmtId="0" fontId="4" fillId="0" borderId="4" xfId="0" applyFont="1" applyBorder="1"/>
    <xf numFmtId="1" fontId="5" fillId="4" borderId="4" xfId="0" applyNumberFormat="1" applyFont="1" applyFill="1" applyBorder="1" applyAlignment="1">
      <alignment horizontal="center"/>
    </xf>
    <xf numFmtId="3" fontId="0" fillId="0" borderId="4" xfId="0" applyNumberFormat="1" applyBorder="1"/>
    <xf numFmtId="9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9" fontId="7" fillId="4" borderId="4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0" fontId="4" fillId="0" borderId="4" xfId="0" applyFont="1" applyBorder="1"/>
    <xf numFmtId="0" fontId="0" fillId="0" borderId="4" xfId="0" applyBorder="1"/>
    <xf numFmtId="0" fontId="6" fillId="5" borderId="6" xfId="0" applyFont="1" applyFill="1" applyBorder="1" applyAlignment="1">
      <alignment vertical="center" wrapText="1"/>
    </xf>
    <xf numFmtId="0" fontId="6" fillId="5" borderId="7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0" fontId="6" fillId="5" borderId="9" xfId="0" applyFont="1" applyFill="1" applyBorder="1" applyAlignment="1">
      <alignment vertical="center" wrapText="1"/>
    </xf>
    <xf numFmtId="0" fontId="6" fillId="5" borderId="10" xfId="0" applyFont="1" applyFill="1" applyBorder="1" applyAlignment="1">
      <alignment vertical="center" wrapText="1"/>
    </xf>
    <xf numFmtId="0" fontId="6" fillId="5" borderId="11" xfId="0" applyFont="1" applyFill="1" applyBorder="1" applyAlignment="1">
      <alignment vertical="center" wrapText="1"/>
    </xf>
  </cellXfs>
  <cellStyles count="1">
    <cellStyle name="Normal" xfId="0" builtinId="0"/>
  </cellStyles>
  <dxfs count="2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entoryTable" displayName="InventoryTable" ref="A1:G21" totalsRowShown="0">
  <autoFilter ref="A1:G21" xr:uid="{00000000-0009-0000-0100-000001000000}"/>
  <tableColumns count="7">
    <tableColumn id="1" xr3:uid="{00000000-0010-0000-0000-000001000000}" name="Product Code"/>
    <tableColumn id="2" xr3:uid="{00000000-0010-0000-0000-000002000000}" name="Product Name"/>
    <tableColumn id="3" xr3:uid="{00000000-0010-0000-0000-000003000000}" name="Category"/>
    <tableColumn id="4" xr3:uid="{00000000-0010-0000-0000-000004000000}" name="Unit Price"/>
    <tableColumn id="5" xr3:uid="{00000000-0010-0000-0000-000005000000}" name="Stock Qty"/>
    <tableColumn id="6" xr3:uid="{00000000-0010-0000-0000-000006000000}" name="Reorder Level"/>
    <tableColumn id="7" xr3:uid="{00000000-0010-0000-0000-000007000000}" name="Stock Varia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alesLookupTable" displayName="SalesLookupTable" ref="A1:P31" totalsRowShown="0">
  <autoFilter ref="A1:P31" xr:uid="{00000000-0009-0000-0100-000002000000}"/>
  <tableColumns count="16">
    <tableColumn id="1" xr3:uid="{00000000-0010-0000-0100-000001000000}" name="Transaction ID"/>
    <tableColumn id="2" xr3:uid="{00000000-0010-0000-0100-000002000000}" name="Date"/>
    <tableColumn id="3" xr3:uid="{00000000-0010-0000-0100-000003000000}" name="Product Code"/>
    <tableColumn id="4" xr3:uid="{00000000-0010-0000-0100-000004000000}" name="Qty"/>
    <tableColumn id="5" xr3:uid="{00000000-0010-0000-0100-000005000000}" name="Region"/>
    <tableColumn id="6" xr3:uid="{00000000-0010-0000-0100-000006000000}" name="Product Name"/>
    <tableColumn id="7" xr3:uid="{00000000-0010-0000-0100-000007000000}" name="Category"/>
    <tableColumn id="8" xr3:uid="{00000000-0010-0000-0100-000008000000}" name="Lookup Status"/>
    <tableColumn id="9" xr3:uid="{00000000-0010-0000-0100-000009000000}" name="Product Name(Index-Match)"/>
    <tableColumn id="10" xr3:uid="{00000000-0010-0000-0100-00000A000000}" name="Product Name (XLookup)"/>
    <tableColumn id="11" xr3:uid="{00000000-0010-0000-0100-00000B000000}" name="Markup %"/>
    <tableColumn id="12" xr3:uid="{00000000-0010-0000-0100-00000C000000}" name="Bulk-Adjusted Markup %"/>
    <tableColumn id="13" xr3:uid="{00000000-0010-0000-0100-00000D000000}" name="Unit Price"/>
    <tableColumn id="14" xr3:uid="{00000000-0010-0000-0100-00000E000000}" name="Sales Amount"/>
    <tableColumn id="15" xr3:uid="{00000000-0010-0000-0100-00000F000000}" name="Commission %"/>
    <tableColumn id="16" xr3:uid="{00000000-0010-0000-0100-000010000000}" name="Commission Am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QuarterlyTargetsTable" displayName="QuarterlyTargetsTable" ref="A1:E5" totalsRowShown="0">
  <autoFilter ref="A1:E5" xr:uid="{00000000-0009-0000-0100-000003000000}"/>
  <tableColumns count="5">
    <tableColumn id="1" xr3:uid="{00000000-0010-0000-0200-000001000000}" name="Region"/>
    <tableColumn id="2" xr3:uid="{00000000-0010-0000-0200-000002000000}" name="Q1 Target"/>
    <tableColumn id="3" xr3:uid="{00000000-0010-0000-0200-000003000000}" name="Q2 Target"/>
    <tableColumn id="4" xr3:uid="{00000000-0010-0000-0200-000004000000}" name="Q3 Target"/>
    <tableColumn id="5" xr3:uid="{00000000-0010-0000-0200-000005000000}" name="Q4 Targe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gionalMarkupTable" displayName="RegionalMarkupTable" ref="A1:E9" totalsRowShown="0">
  <autoFilter ref="A1:E9" xr:uid="{00000000-0009-0000-0100-000004000000}"/>
  <tableColumns count="5">
    <tableColumn id="1" xr3:uid="{00000000-0010-0000-0300-000001000000}" name="Product Code"/>
    <tableColumn id="2" xr3:uid="{00000000-0010-0000-0300-000002000000}" name="North"/>
    <tableColumn id="3" xr3:uid="{00000000-0010-0000-0300-000003000000}" name="South"/>
    <tableColumn id="4" xr3:uid="{00000000-0010-0000-0300-000004000000}" name="East"/>
    <tableColumn id="5" xr3:uid="{00000000-0010-0000-0300-000005000000}" name="We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showGridLines="0" workbookViewId="0"/>
  </sheetViews>
  <sheetFormatPr defaultRowHeight="14.25"/>
  <cols>
    <col min="1" max="1" width="14" customWidth="1"/>
    <col min="2" max="2" width="23" customWidth="1"/>
    <col min="3" max="3" width="18" customWidth="1"/>
    <col min="4" max="4" width="14" customWidth="1"/>
    <col min="5" max="7" width="15" customWidth="1"/>
    <col min="9" max="9" width="23" customWidth="1"/>
    <col min="10" max="10" width="14" customWidth="1"/>
  </cols>
  <sheetData>
    <row r="1" spans="1:10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15" t="s">
        <v>7</v>
      </c>
      <c r="J1" s="16"/>
    </row>
    <row r="2" spans="1:10" ht="15">
      <c r="A2" s="4" t="s">
        <v>8</v>
      </c>
      <c r="B2" s="2" t="s">
        <v>9</v>
      </c>
      <c r="C2" s="4" t="s">
        <v>10</v>
      </c>
      <c r="D2" s="3">
        <v>499</v>
      </c>
      <c r="E2" s="3">
        <v>120</v>
      </c>
      <c r="F2" s="3">
        <v>30</v>
      </c>
      <c r="G2" s="3">
        <f t="shared" ref="G2:G21" si="0">E2-F2</f>
        <v>90</v>
      </c>
      <c r="I2" s="6" t="s">
        <v>11</v>
      </c>
      <c r="J2" s="7">
        <f>SUMPRODUCT(--(E2:E21&lt;F2:F21))</f>
        <v>5</v>
      </c>
    </row>
    <row r="3" spans="1:10" ht="15">
      <c r="A3" s="4" t="s">
        <v>12</v>
      </c>
      <c r="B3" s="2" t="s">
        <v>13</v>
      </c>
      <c r="C3" s="4" t="s">
        <v>10</v>
      </c>
      <c r="D3" s="3">
        <v>149</v>
      </c>
      <c r="E3" s="3">
        <v>500</v>
      </c>
      <c r="F3" s="3">
        <v>100</v>
      </c>
      <c r="G3" s="3">
        <f t="shared" si="0"/>
        <v>400</v>
      </c>
      <c r="I3" s="6" t="s">
        <v>14</v>
      </c>
      <c r="J3" s="7">
        <f>COUNTIF(D2:D21,"&gt;1000")</f>
        <v>6</v>
      </c>
    </row>
    <row r="4" spans="1:10">
      <c r="A4" s="4" t="s">
        <v>15</v>
      </c>
      <c r="B4" s="2" t="s">
        <v>16</v>
      </c>
      <c r="C4" s="4" t="s">
        <v>10</v>
      </c>
      <c r="D4" s="3">
        <v>1499</v>
      </c>
      <c r="E4" s="3">
        <v>40</v>
      </c>
      <c r="F4" s="3">
        <v>25</v>
      </c>
      <c r="G4" s="3">
        <f t="shared" si="0"/>
        <v>15</v>
      </c>
    </row>
    <row r="5" spans="1:10">
      <c r="A5" s="4" t="s">
        <v>17</v>
      </c>
      <c r="B5" s="2" t="s">
        <v>18</v>
      </c>
      <c r="C5" s="4" t="s">
        <v>19</v>
      </c>
      <c r="D5" s="3">
        <v>120</v>
      </c>
      <c r="E5" s="3">
        <v>300</v>
      </c>
      <c r="F5" s="3">
        <v>50</v>
      </c>
      <c r="G5" s="3">
        <f t="shared" si="0"/>
        <v>250</v>
      </c>
    </row>
    <row r="6" spans="1:10">
      <c r="A6" s="4" t="s">
        <v>20</v>
      </c>
      <c r="B6" s="2" t="s">
        <v>21</v>
      </c>
      <c r="C6" s="4" t="s">
        <v>19</v>
      </c>
      <c r="D6" s="3">
        <v>90</v>
      </c>
      <c r="E6" s="3">
        <v>8</v>
      </c>
      <c r="F6" s="3">
        <v>40</v>
      </c>
      <c r="G6" s="3">
        <f t="shared" si="0"/>
        <v>-32</v>
      </c>
    </row>
    <row r="7" spans="1:10">
      <c r="A7" s="4" t="s">
        <v>22</v>
      </c>
      <c r="B7" s="2" t="s">
        <v>23</v>
      </c>
      <c r="C7" s="4" t="s">
        <v>19</v>
      </c>
      <c r="D7" s="3">
        <v>150</v>
      </c>
      <c r="E7" s="3">
        <v>60</v>
      </c>
      <c r="F7" s="3">
        <v>20</v>
      </c>
      <c r="G7" s="3">
        <f t="shared" si="0"/>
        <v>40</v>
      </c>
    </row>
    <row r="8" spans="1:10">
      <c r="A8" s="4" t="s">
        <v>24</v>
      </c>
      <c r="B8" s="2" t="s">
        <v>25</v>
      </c>
      <c r="C8" s="4" t="s">
        <v>26</v>
      </c>
      <c r="D8" s="3">
        <v>199</v>
      </c>
      <c r="E8" s="3">
        <v>85</v>
      </c>
      <c r="F8" s="3">
        <v>30</v>
      </c>
      <c r="G8" s="3">
        <f t="shared" si="0"/>
        <v>55</v>
      </c>
    </row>
    <row r="9" spans="1:10">
      <c r="A9" s="4" t="s">
        <v>27</v>
      </c>
      <c r="B9" s="2" t="s">
        <v>28</v>
      </c>
      <c r="C9" s="4" t="s">
        <v>26</v>
      </c>
      <c r="D9" s="3">
        <v>349</v>
      </c>
      <c r="E9" s="3">
        <v>15</v>
      </c>
      <c r="F9" s="3">
        <v>25</v>
      </c>
      <c r="G9" s="3">
        <f t="shared" si="0"/>
        <v>-10</v>
      </c>
    </row>
    <row r="10" spans="1:10">
      <c r="A10" s="4" t="s">
        <v>29</v>
      </c>
      <c r="B10" s="2" t="s">
        <v>30</v>
      </c>
      <c r="C10" s="4" t="s">
        <v>26</v>
      </c>
      <c r="D10" s="3">
        <v>299</v>
      </c>
      <c r="E10" s="3">
        <v>55</v>
      </c>
      <c r="F10" s="3">
        <v>20</v>
      </c>
      <c r="G10" s="3">
        <f t="shared" si="0"/>
        <v>35</v>
      </c>
    </row>
    <row r="11" spans="1:10">
      <c r="A11" s="4" t="s">
        <v>31</v>
      </c>
      <c r="B11" s="2" t="s">
        <v>32</v>
      </c>
      <c r="C11" s="4" t="s">
        <v>33</v>
      </c>
      <c r="D11" s="3">
        <v>599</v>
      </c>
      <c r="E11" s="3">
        <v>200</v>
      </c>
      <c r="F11" s="3">
        <v>40</v>
      </c>
      <c r="G11" s="3">
        <f t="shared" si="0"/>
        <v>160</v>
      </c>
    </row>
    <row r="12" spans="1:10">
      <c r="A12" s="4" t="s">
        <v>34</v>
      </c>
      <c r="B12" s="2" t="s">
        <v>35</v>
      </c>
      <c r="C12" s="4" t="s">
        <v>33</v>
      </c>
      <c r="D12" s="3">
        <v>1299</v>
      </c>
      <c r="E12" s="3">
        <v>12</v>
      </c>
      <c r="F12" s="3">
        <v>20</v>
      </c>
      <c r="G12" s="3">
        <f t="shared" si="0"/>
        <v>-8</v>
      </c>
    </row>
    <row r="13" spans="1:10">
      <c r="A13" s="4" t="s">
        <v>36</v>
      </c>
      <c r="B13" s="2" t="s">
        <v>37</v>
      </c>
      <c r="C13" s="4" t="s">
        <v>38</v>
      </c>
      <c r="D13" s="3">
        <v>1999</v>
      </c>
      <c r="E13" s="3">
        <v>30</v>
      </c>
      <c r="F13" s="3">
        <v>15</v>
      </c>
      <c r="G13" s="3">
        <f t="shared" si="0"/>
        <v>15</v>
      </c>
    </row>
    <row r="14" spans="1:10">
      <c r="A14" s="4" t="s">
        <v>39</v>
      </c>
      <c r="B14" s="2" t="s">
        <v>40</v>
      </c>
      <c r="C14" s="4" t="s">
        <v>38</v>
      </c>
      <c r="D14" s="3">
        <v>1499</v>
      </c>
      <c r="E14" s="3">
        <v>18</v>
      </c>
      <c r="F14" s="3">
        <v>10</v>
      </c>
      <c r="G14" s="3">
        <f t="shared" si="0"/>
        <v>8</v>
      </c>
    </row>
    <row r="15" spans="1:10">
      <c r="A15" s="4" t="s">
        <v>41</v>
      </c>
      <c r="B15" s="2" t="s">
        <v>42</v>
      </c>
      <c r="C15" s="4" t="s">
        <v>38</v>
      </c>
      <c r="D15" s="3">
        <v>699</v>
      </c>
      <c r="E15" s="3">
        <v>5</v>
      </c>
      <c r="F15" s="3">
        <v>20</v>
      </c>
      <c r="G15" s="3">
        <f t="shared" si="0"/>
        <v>-15</v>
      </c>
    </row>
    <row r="16" spans="1:10">
      <c r="A16" s="4" t="s">
        <v>43</v>
      </c>
      <c r="B16" s="2" t="s">
        <v>44</v>
      </c>
      <c r="C16" s="4" t="s">
        <v>45</v>
      </c>
      <c r="D16" s="3">
        <v>899</v>
      </c>
      <c r="E16" s="3">
        <v>45</v>
      </c>
      <c r="F16" s="3">
        <v>15</v>
      </c>
      <c r="G16" s="3">
        <f t="shared" si="0"/>
        <v>30</v>
      </c>
    </row>
    <row r="17" spans="1:7">
      <c r="A17" s="4" t="s">
        <v>46</v>
      </c>
      <c r="B17" s="2" t="s">
        <v>47</v>
      </c>
      <c r="C17" s="4" t="s">
        <v>45</v>
      </c>
      <c r="D17" s="3">
        <v>1199</v>
      </c>
      <c r="E17" s="3">
        <v>22</v>
      </c>
      <c r="F17" s="3">
        <v>15</v>
      </c>
      <c r="G17" s="3">
        <f t="shared" si="0"/>
        <v>7</v>
      </c>
    </row>
    <row r="18" spans="1:7">
      <c r="A18" s="4" t="s">
        <v>48</v>
      </c>
      <c r="B18" s="2" t="s">
        <v>49</v>
      </c>
      <c r="C18" s="4" t="s">
        <v>10</v>
      </c>
      <c r="D18" s="3">
        <v>1799</v>
      </c>
      <c r="E18" s="3">
        <v>60</v>
      </c>
      <c r="F18" s="3">
        <v>20</v>
      </c>
      <c r="G18" s="3">
        <f t="shared" si="0"/>
        <v>40</v>
      </c>
    </row>
    <row r="19" spans="1:7">
      <c r="A19" s="4" t="s">
        <v>50</v>
      </c>
      <c r="B19" s="2" t="s">
        <v>51</v>
      </c>
      <c r="C19" s="4" t="s">
        <v>38</v>
      </c>
      <c r="D19" s="3">
        <v>349</v>
      </c>
      <c r="E19" s="3">
        <v>90</v>
      </c>
      <c r="F19" s="3">
        <v>30</v>
      </c>
      <c r="G19" s="3">
        <f t="shared" si="0"/>
        <v>60</v>
      </c>
    </row>
    <row r="20" spans="1:7">
      <c r="A20" s="4" t="s">
        <v>52</v>
      </c>
      <c r="B20" s="2" t="s">
        <v>53</v>
      </c>
      <c r="C20" s="4" t="s">
        <v>45</v>
      </c>
      <c r="D20" s="3">
        <v>749</v>
      </c>
      <c r="E20" s="3">
        <v>8</v>
      </c>
      <c r="F20" s="3">
        <v>15</v>
      </c>
      <c r="G20" s="3">
        <f t="shared" si="0"/>
        <v>-7</v>
      </c>
    </row>
    <row r="21" spans="1:7">
      <c r="A21" s="4" t="s">
        <v>54</v>
      </c>
      <c r="B21" s="2" t="s">
        <v>55</v>
      </c>
      <c r="C21" s="4" t="s">
        <v>26</v>
      </c>
      <c r="D21" s="3">
        <v>899</v>
      </c>
      <c r="E21" s="3">
        <v>25</v>
      </c>
      <c r="F21" s="3">
        <v>15</v>
      </c>
      <c r="G21" s="3">
        <f t="shared" si="0"/>
        <v>10</v>
      </c>
    </row>
  </sheetData>
  <mergeCells count="1">
    <mergeCell ref="I1:J1"/>
  </mergeCells>
  <conditionalFormatting sqref="D2:D21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E2:E21">
    <cfRule type="dataBar" priority="2">
      <dataBar>
        <cfvo type="min"/>
        <cfvo type="max"/>
        <color rgb="FF5B9BD5"/>
      </dataBar>
    </cfRule>
    <cfRule type="expression" dxfId="1" priority="4">
      <formula>E2&lt;F2</formula>
    </cfRule>
    <cfRule type="dataBar" priority="5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{75187EE9-2A16-5A5E-76BC-21EEE32E1F4E}</x14:id>
        </ext>
      </extLst>
    </cfRule>
  </conditionalFormatting>
  <conditionalFormatting sqref="G2:G21">
    <cfRule type="iconSet" priority="3">
      <iconSet>
        <cfvo type="num" val="-9999"/>
        <cfvo type="num" val="0"/>
        <cfvo type="num" val="30"/>
      </iconSe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187EE9-2A16-5A5E-76BC-21EEE32E1F4E}">
            <x14:dataBar>
              <x14:cfvo type="min"/>
              <x14:cfvo type="max"/>
              <x14:negativeFillColor auto="1"/>
              <x14:axisColor auto="1"/>
            </x14:dataBar>
          </x14:cfRule>
          <xm:sqref>E2:E21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"/>
  <sheetViews>
    <sheetView showGridLines="0" workbookViewId="0"/>
  </sheetViews>
  <sheetFormatPr defaultRowHeight="14.25"/>
  <cols>
    <col min="1" max="1" width="15" customWidth="1"/>
    <col min="2" max="2" width="13" customWidth="1"/>
    <col min="3" max="3" width="14" customWidth="1"/>
    <col min="4" max="4" width="9" customWidth="1"/>
    <col min="5" max="5" width="11" customWidth="1"/>
    <col min="6" max="7" width="19" customWidth="1"/>
    <col min="8" max="8" width="15" customWidth="1"/>
    <col min="9" max="10" width="25" customWidth="1"/>
    <col min="11" max="11" width="14" customWidth="1"/>
    <col min="12" max="12" width="22" customWidth="1"/>
    <col min="13" max="14" width="15" customWidth="1"/>
    <col min="15" max="15" width="14" customWidth="1"/>
    <col min="16" max="16" width="19" customWidth="1"/>
  </cols>
  <sheetData>
    <row r="1" spans="1:16" ht="30" customHeight="1">
      <c r="A1" s="1" t="s">
        <v>56</v>
      </c>
      <c r="B1" s="1" t="s">
        <v>57</v>
      </c>
      <c r="C1" s="1" t="s">
        <v>0</v>
      </c>
      <c r="D1" s="1" t="s">
        <v>58</v>
      </c>
      <c r="E1" s="1" t="s">
        <v>59</v>
      </c>
      <c r="F1" s="1" t="s">
        <v>1</v>
      </c>
      <c r="G1" s="1" t="s">
        <v>2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3</v>
      </c>
      <c r="N1" s="1" t="s">
        <v>65</v>
      </c>
      <c r="O1" s="1" t="s">
        <v>66</v>
      </c>
      <c r="P1" s="1" t="s">
        <v>67</v>
      </c>
    </row>
    <row r="2" spans="1:16">
      <c r="A2" s="4" t="s">
        <v>68</v>
      </c>
      <c r="B2" s="11">
        <v>46175</v>
      </c>
      <c r="C2" s="4" t="s">
        <v>50</v>
      </c>
      <c r="D2" s="12">
        <v>2</v>
      </c>
      <c r="E2" s="4" t="s">
        <v>69</v>
      </c>
      <c r="F2" s="2" t="str">
        <f>IFERROR(VLOOKUP(C2,Inventory!$A$2:$F$21,2,FALSE),"Product Not Found")</f>
        <v>Water Bottle</v>
      </c>
      <c r="G2" s="2" t="str">
        <f>IFERROR(VLOOKUP(C2,Inventory!$A$2:$F$21,3,FALSE),"Product Not Found")</f>
        <v>Sports</v>
      </c>
      <c r="H2" s="4" t="str">
        <f>IF(ISNA(VLOOKUP(C2,Inventory!$A$2:$F$21,2,FALSE)),"Review","OK")</f>
        <v>OK</v>
      </c>
      <c r="I2" s="2" t="str">
        <f>IFERROR(INDEX(Inventory!$B$2:$B$21,MATCH(C2,Inventory!$A$2:$A$21,0)),"Product Not Found")</f>
        <v>Water Bottle</v>
      </c>
      <c r="J2" s="2" t="e">
        <f ca="1">_xludf.XLOOKUP(C2,Inventory!$A$2:$A$21,Inventory!$B$2:$B$21,"Product Not Found")</f>
        <v>#NAME?</v>
      </c>
      <c r="K2" s="9" t="str">
        <f>IFERROR(INDEX(Markup!$B$2:$E$9,MATCH(C2,Markup!$A$2:$A$9,0),MATCH(E2,Markup!$B$1:$E$1,0)),"No Markup Data")</f>
        <v>No Markup Data</v>
      </c>
      <c r="L2" s="9" t="str">
        <f>IFERROR(IF(D2&gt;5,INDEX(Markup!$B$2:$E$9,MATCH(C2,Markup!$A$2:$A$9,0),MATCH(E2,Markup!$B$1:$E$1,0))-#REF!,INDEX(Markup!$B$2:$E$9,MATCH(C2,Markup!$A$2:$A$9,0),MATCH(E2,Markup!$B$1:$E$1,0))),"No Markup Data")</f>
        <v>No Markup Data</v>
      </c>
      <c r="M2" s="3" t="e">
        <f ca="1">_xludf.XLOOKUP(C2,Inventory!$A$2:$A$21,Inventory!$D$2:$D$21,0)</f>
        <v>#NAME?</v>
      </c>
      <c r="N2" s="3" t="e">
        <f t="shared" ref="N2:N31" ca="1" si="0">D2*M2</f>
        <v>#NAME?</v>
      </c>
      <c r="O2" s="9" t="e">
        <f ca="1">VLOOKUP(N2,#REF!,2,TRUE)</f>
        <v>#NAME?</v>
      </c>
      <c r="P2" s="10" t="e">
        <f t="shared" ref="P2:P31" ca="1" si="1">ROUND(N2*O2,2)</f>
        <v>#NAME?</v>
      </c>
    </row>
    <row r="3" spans="1:16">
      <c r="A3" s="4" t="s">
        <v>70</v>
      </c>
      <c r="B3" s="11">
        <v>46220</v>
      </c>
      <c r="C3" s="4" t="s">
        <v>29</v>
      </c>
      <c r="D3" s="12">
        <v>8</v>
      </c>
      <c r="E3" s="4" t="s">
        <v>71</v>
      </c>
      <c r="F3" s="2" t="str">
        <f>IFERROR(VLOOKUP(C3,Inventory!$A$2:$F$21,2,FALSE),"Product Not Found")</f>
        <v>Lipstick</v>
      </c>
      <c r="G3" s="2" t="str">
        <f>IFERROR(VLOOKUP(C3,Inventory!$A$2:$F$21,3,FALSE),"Product Not Found")</f>
        <v>Beauty</v>
      </c>
      <c r="H3" s="4" t="str">
        <f>IF(ISNA(VLOOKUP(C3,Inventory!$A$2:$F$21,2,FALSE)),"Review","OK")</f>
        <v>OK</v>
      </c>
      <c r="I3" s="2" t="str">
        <f>IFERROR(INDEX(Inventory!$B$2:$B$21,MATCH(C3,Inventory!$A$2:$A$21,0)),"Product Not Found")</f>
        <v>Lipstick</v>
      </c>
      <c r="J3" s="2" t="e">
        <f ca="1">_xludf.XLOOKUP(C3,Inventory!$A$2:$A$21,Inventory!$B$2:$B$21,"Product Not Found")</f>
        <v>#NAME?</v>
      </c>
      <c r="K3" s="9" t="str">
        <f>IFERROR(INDEX(Markup!$B$2:$E$9,MATCH(C3,Markup!$A$2:$A$9,0),MATCH(E3,Markup!$B$1:$E$1,0)),"No Markup Data")</f>
        <v>No Markup Data</v>
      </c>
      <c r="L3" s="9" t="str">
        <f>IFERROR(IF(D3&gt;5,INDEX(Markup!$B$2:$E$9,MATCH(C3,Markup!$A$2:$A$9,0),MATCH(E3,Markup!$B$1:$E$1,0))-#REF!,INDEX(Markup!$B$2:$E$9,MATCH(C3,Markup!$A$2:$A$9,0),MATCH(E3,Markup!$B$1:$E$1,0))),"No Markup Data")</f>
        <v>No Markup Data</v>
      </c>
      <c r="M3" s="3" t="e">
        <f ca="1">_xludf.XLOOKUP(C3,Inventory!$A$2:$A$21,Inventory!$D$2:$D$21,0)</f>
        <v>#NAME?</v>
      </c>
      <c r="N3" s="3" t="e">
        <f t="shared" ca="1" si="0"/>
        <v>#NAME?</v>
      </c>
      <c r="O3" s="9" t="e">
        <f ca="1">VLOOKUP(N3,#REF!,2,TRUE)</f>
        <v>#NAME?</v>
      </c>
      <c r="P3" s="10" t="e">
        <f t="shared" ca="1" si="1"/>
        <v>#NAME?</v>
      </c>
    </row>
    <row r="4" spans="1:16">
      <c r="A4" s="4" t="s">
        <v>72</v>
      </c>
      <c r="B4" s="11">
        <v>46231</v>
      </c>
      <c r="C4" s="4" t="s">
        <v>12</v>
      </c>
      <c r="D4" s="12">
        <v>2</v>
      </c>
      <c r="E4" s="4" t="s">
        <v>73</v>
      </c>
      <c r="F4" s="2" t="str">
        <f>IFERROR(VLOOKUP(C4,Inventory!$A$2:$F$21,2,FALSE),"Product Not Found")</f>
        <v>USB Cable</v>
      </c>
      <c r="G4" s="2" t="str">
        <f>IFERROR(VLOOKUP(C4,Inventory!$A$2:$F$21,3,FALSE),"Product Not Found")</f>
        <v>Electronics</v>
      </c>
      <c r="H4" s="4" t="str">
        <f>IF(ISNA(VLOOKUP(C4,Inventory!$A$2:$F$21,2,FALSE)),"Review","OK")</f>
        <v>OK</v>
      </c>
      <c r="I4" s="2" t="str">
        <f>IFERROR(INDEX(Inventory!$B$2:$B$21,MATCH(C4,Inventory!$A$2:$A$21,0)),"Product Not Found")</f>
        <v>USB Cable</v>
      </c>
      <c r="J4" s="2" t="e">
        <f ca="1">_xludf.XLOOKUP(C4,Inventory!$A$2:$A$21,Inventory!$B$2:$B$21,"Product Not Found")</f>
        <v>#NAME?</v>
      </c>
      <c r="K4" s="9">
        <f>IFERROR(INDEX(Markup!$B$2:$E$9,MATCH(C4,Markup!$A$2:$A$9,0),MATCH(E4,Markup!$B$1:$E$1,0)),"No Markup Data")</f>
        <v>0.09</v>
      </c>
      <c r="L4" s="9">
        <f>IFERROR(IF(D4&gt;5,INDEX(Markup!$B$2:$E$9,MATCH(C4,Markup!$A$2:$A$9,0),MATCH(E4,Markup!$B$1:$E$1,0))-#REF!,INDEX(Markup!$B$2:$E$9,MATCH(C4,Markup!$A$2:$A$9,0),MATCH(E4,Markup!$B$1:$E$1,0))),"No Markup Data")</f>
        <v>0.09</v>
      </c>
      <c r="M4" s="3" t="e">
        <f ca="1">_xludf.XLOOKUP(C4,Inventory!$A$2:$A$21,Inventory!$D$2:$D$21,0)</f>
        <v>#NAME?</v>
      </c>
      <c r="N4" s="3" t="e">
        <f t="shared" ca="1" si="0"/>
        <v>#NAME?</v>
      </c>
      <c r="O4" s="9" t="e">
        <f ca="1">VLOOKUP(N4,#REF!,2,TRUE)</f>
        <v>#NAME?</v>
      </c>
      <c r="P4" s="10" t="e">
        <f t="shared" ca="1" si="1"/>
        <v>#NAME?</v>
      </c>
    </row>
    <row r="5" spans="1:16">
      <c r="A5" s="4" t="s">
        <v>74</v>
      </c>
      <c r="B5" s="11">
        <v>46209</v>
      </c>
      <c r="C5" s="4" t="s">
        <v>41</v>
      </c>
      <c r="D5" s="12">
        <v>1</v>
      </c>
      <c r="E5" s="4" t="s">
        <v>75</v>
      </c>
      <c r="F5" s="2" t="str">
        <f>IFERROR(VLOOKUP(C5,Inventory!$A$2:$F$21,2,FALSE),"Product Not Found")</f>
        <v>Yoga Mat</v>
      </c>
      <c r="G5" s="2" t="str">
        <f>IFERROR(VLOOKUP(C5,Inventory!$A$2:$F$21,3,FALSE),"Product Not Found")</f>
        <v>Sports</v>
      </c>
      <c r="H5" s="4" t="str">
        <f>IF(ISNA(VLOOKUP(C5,Inventory!$A$2:$F$21,2,FALSE)),"Review","OK")</f>
        <v>OK</v>
      </c>
      <c r="I5" s="2" t="str">
        <f>IFERROR(INDEX(Inventory!$B$2:$B$21,MATCH(C5,Inventory!$A$2:$A$21,0)),"Product Not Found")</f>
        <v>Yoga Mat</v>
      </c>
      <c r="J5" s="2" t="e">
        <f ca="1">_xludf.XLOOKUP(C5,Inventory!$A$2:$A$21,Inventory!$B$2:$B$21,"Product Not Found")</f>
        <v>#NAME?</v>
      </c>
      <c r="K5" s="9" t="str">
        <f>IFERROR(INDEX(Markup!$B$2:$E$9,MATCH(C5,Markup!$A$2:$A$9,0),MATCH(E5,Markup!$B$1:$E$1,0)),"No Markup Data")</f>
        <v>No Markup Data</v>
      </c>
      <c r="L5" s="9" t="str">
        <f>IFERROR(IF(D5&gt;5,INDEX(Markup!$B$2:$E$9,MATCH(C5,Markup!$A$2:$A$9,0),MATCH(E5,Markup!$B$1:$E$1,0))-#REF!,INDEX(Markup!$B$2:$E$9,MATCH(C5,Markup!$A$2:$A$9,0),MATCH(E5,Markup!$B$1:$E$1,0))),"No Markup Data")</f>
        <v>No Markup Data</v>
      </c>
      <c r="M5" s="3" t="e">
        <f ca="1">_xludf.XLOOKUP(C5,Inventory!$A$2:$A$21,Inventory!$D$2:$D$21,0)</f>
        <v>#NAME?</v>
      </c>
      <c r="N5" s="3" t="e">
        <f t="shared" ca="1" si="0"/>
        <v>#NAME?</v>
      </c>
      <c r="O5" s="9" t="e">
        <f ca="1">VLOOKUP(N5,#REF!,2,TRUE)</f>
        <v>#NAME?</v>
      </c>
      <c r="P5" s="10" t="e">
        <f t="shared" ca="1" si="1"/>
        <v>#NAME?</v>
      </c>
    </row>
    <row r="6" spans="1:16">
      <c r="A6" s="4" t="s">
        <v>76</v>
      </c>
      <c r="B6" s="11">
        <v>46228</v>
      </c>
      <c r="C6" s="4" t="s">
        <v>27</v>
      </c>
      <c r="D6" s="12">
        <v>7</v>
      </c>
      <c r="E6" s="4" t="s">
        <v>69</v>
      </c>
      <c r="F6" s="2" t="str">
        <f>IFERROR(VLOOKUP(C6,Inventory!$A$2:$F$21,2,FALSE),"Product Not Found")</f>
        <v>Moisturizer</v>
      </c>
      <c r="G6" s="2" t="str">
        <f>IFERROR(VLOOKUP(C6,Inventory!$A$2:$F$21,3,FALSE),"Product Not Found")</f>
        <v>Beauty</v>
      </c>
      <c r="H6" s="4" t="str">
        <f>IF(ISNA(VLOOKUP(C6,Inventory!$A$2:$F$21,2,FALSE)),"Review","OK")</f>
        <v>OK</v>
      </c>
      <c r="I6" s="2" t="str">
        <f>IFERROR(INDEX(Inventory!$B$2:$B$21,MATCH(C6,Inventory!$A$2:$A$21,0)),"Product Not Found")</f>
        <v>Moisturizer</v>
      </c>
      <c r="J6" s="2" t="e">
        <f ca="1">_xludf.XLOOKUP(C6,Inventory!$A$2:$A$21,Inventory!$B$2:$B$21,"Product Not Found")</f>
        <v>#NAME?</v>
      </c>
      <c r="K6" s="9">
        <f>IFERROR(INDEX(Markup!$B$2:$E$9,MATCH(C6,Markup!$A$2:$A$9,0),MATCH(E6,Markup!$B$1:$E$1,0)),"No Markup Data")</f>
        <v>0.09</v>
      </c>
      <c r="L6" s="9" t="str">
        <f>IFERROR(IF(D6&gt;5,INDEX(Markup!$B$2:$E$9,MATCH(C6,Markup!$A$2:$A$9,0),MATCH(E6,Markup!$B$1:$E$1,0))-#REF!,INDEX(Markup!$B$2:$E$9,MATCH(C6,Markup!$A$2:$A$9,0),MATCH(E6,Markup!$B$1:$E$1,0))),"No Markup Data")</f>
        <v>No Markup Data</v>
      </c>
      <c r="M6" s="3" t="e">
        <f ca="1">_xludf.XLOOKUP(C6,Inventory!$A$2:$A$21,Inventory!$D$2:$D$21,0)</f>
        <v>#NAME?</v>
      </c>
      <c r="N6" s="3" t="e">
        <f t="shared" ca="1" si="0"/>
        <v>#NAME?</v>
      </c>
      <c r="O6" s="9" t="e">
        <f ca="1">VLOOKUP(N6,#REF!,2,TRUE)</f>
        <v>#NAME?</v>
      </c>
      <c r="P6" s="10" t="e">
        <f t="shared" ca="1" si="1"/>
        <v>#NAME?</v>
      </c>
    </row>
    <row r="7" spans="1:16">
      <c r="A7" s="4" t="s">
        <v>77</v>
      </c>
      <c r="B7" s="11">
        <v>46175</v>
      </c>
      <c r="C7" s="4" t="s">
        <v>41</v>
      </c>
      <c r="D7" s="12">
        <v>2</v>
      </c>
      <c r="E7" s="4" t="s">
        <v>69</v>
      </c>
      <c r="F7" s="2" t="str">
        <f>IFERROR(VLOOKUP(C7,Inventory!$A$2:$F$21,2,FALSE),"Product Not Found")</f>
        <v>Yoga Mat</v>
      </c>
      <c r="G7" s="2" t="str">
        <f>IFERROR(VLOOKUP(C7,Inventory!$A$2:$F$21,3,FALSE),"Product Not Found")</f>
        <v>Sports</v>
      </c>
      <c r="H7" s="4" t="str">
        <f>IF(ISNA(VLOOKUP(C7,Inventory!$A$2:$F$21,2,FALSE)),"Review","OK")</f>
        <v>OK</v>
      </c>
      <c r="I7" s="2" t="str">
        <f>IFERROR(INDEX(Inventory!$B$2:$B$21,MATCH(C7,Inventory!$A$2:$A$21,0)),"Product Not Found")</f>
        <v>Yoga Mat</v>
      </c>
      <c r="J7" s="2" t="e">
        <f ca="1">_xludf.XLOOKUP(C7,Inventory!$A$2:$A$21,Inventory!$B$2:$B$21,"Product Not Found")</f>
        <v>#NAME?</v>
      </c>
      <c r="K7" s="9" t="str">
        <f>IFERROR(INDEX(Markup!$B$2:$E$9,MATCH(C7,Markup!$A$2:$A$9,0),MATCH(E7,Markup!$B$1:$E$1,0)),"No Markup Data")</f>
        <v>No Markup Data</v>
      </c>
      <c r="L7" s="9" t="str">
        <f>IFERROR(IF(D7&gt;5,INDEX(Markup!$B$2:$E$9,MATCH(C7,Markup!$A$2:$A$9,0),MATCH(E7,Markup!$B$1:$E$1,0))-#REF!,INDEX(Markup!$B$2:$E$9,MATCH(C7,Markup!$A$2:$A$9,0),MATCH(E7,Markup!$B$1:$E$1,0))),"No Markup Data")</f>
        <v>No Markup Data</v>
      </c>
      <c r="M7" s="3" t="e">
        <f ca="1">_xludf.XLOOKUP(C7,Inventory!$A$2:$A$21,Inventory!$D$2:$D$21,0)</f>
        <v>#NAME?</v>
      </c>
      <c r="N7" s="3" t="e">
        <f t="shared" ca="1" si="0"/>
        <v>#NAME?</v>
      </c>
      <c r="O7" s="9" t="e">
        <f ca="1">VLOOKUP(N7,#REF!,2,TRUE)</f>
        <v>#NAME?</v>
      </c>
      <c r="P7" s="10" t="e">
        <f t="shared" ca="1" si="1"/>
        <v>#NAME?</v>
      </c>
    </row>
    <row r="8" spans="1:16">
      <c r="A8" s="4" t="s">
        <v>78</v>
      </c>
      <c r="B8" s="11">
        <v>46206</v>
      </c>
      <c r="C8" s="4" t="s">
        <v>34</v>
      </c>
      <c r="D8" s="12">
        <v>8</v>
      </c>
      <c r="E8" s="4" t="s">
        <v>71</v>
      </c>
      <c r="F8" s="2" t="str">
        <f>IFERROR(VLOOKUP(C8,Inventory!$A$2:$F$21,2,FALSE),"Product Not Found")</f>
        <v>Denim Jeans</v>
      </c>
      <c r="G8" s="2" t="str">
        <f>IFERROR(VLOOKUP(C8,Inventory!$A$2:$F$21,3,FALSE),"Product Not Found")</f>
        <v>Apparel</v>
      </c>
      <c r="H8" s="4" t="str">
        <f>IF(ISNA(VLOOKUP(C8,Inventory!$A$2:$F$21,2,FALSE)),"Review","OK")</f>
        <v>OK</v>
      </c>
      <c r="I8" s="2" t="str">
        <f>IFERROR(INDEX(Inventory!$B$2:$B$21,MATCH(C8,Inventory!$A$2:$A$21,0)),"Product Not Found")</f>
        <v>Denim Jeans</v>
      </c>
      <c r="J8" s="2" t="e">
        <f ca="1">_xludf.XLOOKUP(C8,Inventory!$A$2:$A$21,Inventory!$B$2:$B$21,"Product Not Found")</f>
        <v>#NAME?</v>
      </c>
      <c r="K8" s="9" t="str">
        <f>IFERROR(INDEX(Markup!$B$2:$E$9,MATCH(C8,Markup!$A$2:$A$9,0),MATCH(E8,Markup!$B$1:$E$1,0)),"No Markup Data")</f>
        <v>No Markup Data</v>
      </c>
      <c r="L8" s="9" t="str">
        <f>IFERROR(IF(D8&gt;5,INDEX(Markup!$B$2:$E$9,MATCH(C8,Markup!$A$2:$A$9,0),MATCH(E8,Markup!$B$1:$E$1,0))-#REF!,INDEX(Markup!$B$2:$E$9,MATCH(C8,Markup!$A$2:$A$9,0),MATCH(E8,Markup!$B$1:$E$1,0))),"No Markup Data")</f>
        <v>No Markup Data</v>
      </c>
      <c r="M8" s="3" t="e">
        <f ca="1">_xludf.XLOOKUP(C8,Inventory!$A$2:$A$21,Inventory!$D$2:$D$21,0)</f>
        <v>#NAME?</v>
      </c>
      <c r="N8" s="3" t="e">
        <f t="shared" ca="1" si="0"/>
        <v>#NAME?</v>
      </c>
      <c r="O8" s="9" t="e">
        <f ca="1">VLOOKUP(N8,#REF!,2,TRUE)</f>
        <v>#NAME?</v>
      </c>
      <c r="P8" s="10" t="e">
        <f t="shared" ca="1" si="1"/>
        <v>#NAME?</v>
      </c>
    </row>
    <row r="9" spans="1:16">
      <c r="A9" s="4" t="s">
        <v>79</v>
      </c>
      <c r="B9" s="11">
        <v>46234</v>
      </c>
      <c r="C9" s="4" t="s">
        <v>27</v>
      </c>
      <c r="D9" s="12">
        <v>3</v>
      </c>
      <c r="E9" s="4" t="s">
        <v>71</v>
      </c>
      <c r="F9" s="2" t="str">
        <f>IFERROR(VLOOKUP(C9,Inventory!$A$2:$F$21,2,FALSE),"Product Not Found")</f>
        <v>Moisturizer</v>
      </c>
      <c r="G9" s="2" t="str">
        <f>IFERROR(VLOOKUP(C9,Inventory!$A$2:$F$21,3,FALSE),"Product Not Found")</f>
        <v>Beauty</v>
      </c>
      <c r="H9" s="4" t="str">
        <f>IF(ISNA(VLOOKUP(C9,Inventory!$A$2:$F$21,2,FALSE)),"Review","OK")</f>
        <v>OK</v>
      </c>
      <c r="I9" s="2" t="str">
        <f>IFERROR(INDEX(Inventory!$B$2:$B$21,MATCH(C9,Inventory!$A$2:$A$21,0)),"Product Not Found")</f>
        <v>Moisturizer</v>
      </c>
      <c r="J9" s="2" t="e">
        <f ca="1">_xludf.XLOOKUP(C9,Inventory!$A$2:$A$21,Inventory!$B$2:$B$21,"Product Not Found")</f>
        <v>#NAME?</v>
      </c>
      <c r="K9" s="9">
        <f>IFERROR(INDEX(Markup!$B$2:$E$9,MATCH(C9,Markup!$A$2:$A$9,0),MATCH(E9,Markup!$B$1:$E$1,0)),"No Markup Data")</f>
        <v>0.06</v>
      </c>
      <c r="L9" s="9">
        <f>IFERROR(IF(D9&gt;5,INDEX(Markup!$B$2:$E$9,MATCH(C9,Markup!$A$2:$A$9,0),MATCH(E9,Markup!$B$1:$E$1,0))-#REF!,INDEX(Markup!$B$2:$E$9,MATCH(C9,Markup!$A$2:$A$9,0),MATCH(E9,Markup!$B$1:$E$1,0))),"No Markup Data")</f>
        <v>0.06</v>
      </c>
      <c r="M9" s="3" t="e">
        <f ca="1">_xludf.XLOOKUP(C9,Inventory!$A$2:$A$21,Inventory!$D$2:$D$21,0)</f>
        <v>#NAME?</v>
      </c>
      <c r="N9" s="3" t="e">
        <f t="shared" ca="1" si="0"/>
        <v>#NAME?</v>
      </c>
      <c r="O9" s="9" t="e">
        <f ca="1">VLOOKUP(N9,#REF!,2,TRUE)</f>
        <v>#NAME?</v>
      </c>
      <c r="P9" s="10" t="e">
        <f t="shared" ca="1" si="1"/>
        <v>#NAME?</v>
      </c>
    </row>
    <row r="10" spans="1:16">
      <c r="A10" s="4" t="s">
        <v>80</v>
      </c>
      <c r="B10" s="11">
        <v>46195</v>
      </c>
      <c r="C10" s="4" t="s">
        <v>27</v>
      </c>
      <c r="D10" s="12">
        <v>1</v>
      </c>
      <c r="E10" s="4" t="s">
        <v>71</v>
      </c>
      <c r="F10" s="2" t="str">
        <f>IFERROR(VLOOKUP(C10,Inventory!$A$2:$F$21,2,FALSE),"Product Not Found")</f>
        <v>Moisturizer</v>
      </c>
      <c r="G10" s="2" t="str">
        <f>IFERROR(VLOOKUP(C10,Inventory!$A$2:$F$21,3,FALSE),"Product Not Found")</f>
        <v>Beauty</v>
      </c>
      <c r="H10" s="4" t="str">
        <f>IF(ISNA(VLOOKUP(C10,Inventory!$A$2:$F$21,2,FALSE)),"Review","OK")</f>
        <v>OK</v>
      </c>
      <c r="I10" s="2" t="str">
        <f>IFERROR(INDEX(Inventory!$B$2:$B$21,MATCH(C10,Inventory!$A$2:$A$21,0)),"Product Not Found")</f>
        <v>Moisturizer</v>
      </c>
      <c r="J10" s="2" t="e">
        <f ca="1">_xludf.XLOOKUP(C10,Inventory!$A$2:$A$21,Inventory!$B$2:$B$21,"Product Not Found")</f>
        <v>#NAME?</v>
      </c>
      <c r="K10" s="9">
        <f>IFERROR(INDEX(Markup!$B$2:$E$9,MATCH(C10,Markup!$A$2:$A$9,0),MATCH(E10,Markup!$B$1:$E$1,0)),"No Markup Data")</f>
        <v>0.06</v>
      </c>
      <c r="L10" s="9">
        <f>IFERROR(IF(D10&gt;5,INDEX(Markup!$B$2:$E$9,MATCH(C10,Markup!$A$2:$A$9,0),MATCH(E10,Markup!$B$1:$E$1,0))-#REF!,INDEX(Markup!$B$2:$E$9,MATCH(C10,Markup!$A$2:$A$9,0),MATCH(E10,Markup!$B$1:$E$1,0))),"No Markup Data")</f>
        <v>0.06</v>
      </c>
      <c r="M10" s="3" t="e">
        <f ca="1">_xludf.XLOOKUP(C10,Inventory!$A$2:$A$21,Inventory!$D$2:$D$21,0)</f>
        <v>#NAME?</v>
      </c>
      <c r="N10" s="3" t="e">
        <f t="shared" ca="1" si="0"/>
        <v>#NAME?</v>
      </c>
      <c r="O10" s="9" t="e">
        <f ca="1">VLOOKUP(N10,#REF!,2,TRUE)</f>
        <v>#NAME?</v>
      </c>
      <c r="P10" s="10" t="e">
        <f t="shared" ca="1" si="1"/>
        <v>#NAME?</v>
      </c>
    </row>
    <row r="11" spans="1:16">
      <c r="A11" s="4" t="s">
        <v>81</v>
      </c>
      <c r="B11" s="11">
        <v>46206</v>
      </c>
      <c r="C11" s="4" t="s">
        <v>52</v>
      </c>
      <c r="D11" s="12">
        <v>7</v>
      </c>
      <c r="E11" s="4" t="s">
        <v>69</v>
      </c>
      <c r="F11" s="2" t="str">
        <f>IFERROR(VLOOKUP(C11,Inventory!$A$2:$F$21,2,FALSE),"Product Not Found")</f>
        <v>Table Lamp</v>
      </c>
      <c r="G11" s="2" t="str">
        <f>IFERROR(VLOOKUP(C11,Inventory!$A$2:$F$21,3,FALSE),"Product Not Found")</f>
        <v>Home &amp; Kitchen</v>
      </c>
      <c r="H11" s="4" t="str">
        <f>IF(ISNA(VLOOKUP(C11,Inventory!$A$2:$F$21,2,FALSE)),"Review","OK")</f>
        <v>OK</v>
      </c>
      <c r="I11" s="2" t="str">
        <f>IFERROR(INDEX(Inventory!$B$2:$B$21,MATCH(C11,Inventory!$A$2:$A$21,0)),"Product Not Found")</f>
        <v>Table Lamp</v>
      </c>
      <c r="J11" s="2" t="e">
        <f ca="1">_xludf.XLOOKUP(C11,Inventory!$A$2:$A$21,Inventory!$B$2:$B$21,"Product Not Found")</f>
        <v>#NAME?</v>
      </c>
      <c r="K11" s="9" t="str">
        <f>IFERROR(INDEX(Markup!$B$2:$E$9,MATCH(C11,Markup!$A$2:$A$9,0),MATCH(E11,Markup!$B$1:$E$1,0)),"No Markup Data")</f>
        <v>No Markup Data</v>
      </c>
      <c r="L11" s="9" t="str">
        <f>IFERROR(IF(D11&gt;5,INDEX(Markup!$B$2:$E$9,MATCH(C11,Markup!$A$2:$A$9,0),MATCH(E11,Markup!$B$1:$E$1,0))-#REF!,INDEX(Markup!$B$2:$E$9,MATCH(C11,Markup!$A$2:$A$9,0),MATCH(E11,Markup!$B$1:$E$1,0))),"No Markup Data")</f>
        <v>No Markup Data</v>
      </c>
      <c r="M11" s="3" t="e">
        <f ca="1">_xludf.XLOOKUP(C11,Inventory!$A$2:$A$21,Inventory!$D$2:$D$21,0)</f>
        <v>#NAME?</v>
      </c>
      <c r="N11" s="3" t="e">
        <f t="shared" ca="1" si="0"/>
        <v>#NAME?</v>
      </c>
      <c r="O11" s="9" t="e">
        <f ca="1">VLOOKUP(N11,#REF!,2,TRUE)</f>
        <v>#NAME?</v>
      </c>
      <c r="P11" s="10" t="e">
        <f t="shared" ca="1" si="1"/>
        <v>#NAME?</v>
      </c>
    </row>
    <row r="12" spans="1:16">
      <c r="A12" s="4" t="s">
        <v>82</v>
      </c>
      <c r="B12" s="11">
        <v>46185</v>
      </c>
      <c r="C12" s="4" t="s">
        <v>39</v>
      </c>
      <c r="D12" s="12">
        <v>6</v>
      </c>
      <c r="E12" s="4" t="s">
        <v>75</v>
      </c>
      <c r="F12" s="2" t="str">
        <f>IFERROR(VLOOKUP(C12,Inventory!$A$2:$F$21,2,FALSE),"Product Not Found")</f>
        <v>Cricket Bat</v>
      </c>
      <c r="G12" s="2" t="str">
        <f>IFERROR(VLOOKUP(C12,Inventory!$A$2:$F$21,3,FALSE),"Product Not Found")</f>
        <v>Sports</v>
      </c>
      <c r="H12" s="4" t="str">
        <f>IF(ISNA(VLOOKUP(C12,Inventory!$A$2:$F$21,2,FALSE)),"Review","OK")</f>
        <v>OK</v>
      </c>
      <c r="I12" s="2" t="str">
        <f>IFERROR(INDEX(Inventory!$B$2:$B$21,MATCH(C12,Inventory!$A$2:$A$21,0)),"Product Not Found")</f>
        <v>Cricket Bat</v>
      </c>
      <c r="J12" s="2" t="e">
        <f ca="1">_xludf.XLOOKUP(C12,Inventory!$A$2:$A$21,Inventory!$B$2:$B$21,"Product Not Found")</f>
        <v>#NAME?</v>
      </c>
      <c r="K12" s="9" t="str">
        <f>IFERROR(INDEX(Markup!$B$2:$E$9,MATCH(C12,Markup!$A$2:$A$9,0),MATCH(E12,Markup!$B$1:$E$1,0)),"No Markup Data")</f>
        <v>No Markup Data</v>
      </c>
      <c r="L12" s="9" t="str">
        <f>IFERROR(IF(D12&gt;5,INDEX(Markup!$B$2:$E$9,MATCH(C12,Markup!$A$2:$A$9,0),MATCH(E12,Markup!$B$1:$E$1,0))-#REF!,INDEX(Markup!$B$2:$E$9,MATCH(C12,Markup!$A$2:$A$9,0),MATCH(E12,Markup!$B$1:$E$1,0))),"No Markup Data")</f>
        <v>No Markup Data</v>
      </c>
      <c r="M12" s="3" t="e">
        <f ca="1">_xludf.XLOOKUP(C12,Inventory!$A$2:$A$21,Inventory!$D$2:$D$21,0)</f>
        <v>#NAME?</v>
      </c>
      <c r="N12" s="3" t="e">
        <f t="shared" ca="1" si="0"/>
        <v>#NAME?</v>
      </c>
      <c r="O12" s="9" t="e">
        <f ca="1">VLOOKUP(N12,#REF!,2,TRUE)</f>
        <v>#NAME?</v>
      </c>
      <c r="P12" s="10" t="e">
        <f t="shared" ca="1" si="1"/>
        <v>#NAME?</v>
      </c>
    </row>
    <row r="13" spans="1:16">
      <c r="A13" s="4" t="s">
        <v>83</v>
      </c>
      <c r="B13" s="11">
        <v>46195</v>
      </c>
      <c r="C13" s="4" t="s">
        <v>84</v>
      </c>
      <c r="D13" s="12">
        <v>2</v>
      </c>
      <c r="E13" s="4" t="s">
        <v>73</v>
      </c>
      <c r="F13" s="2" t="str">
        <f>IFERROR(VLOOKUP(C13,Inventory!$A$2:$F$21,2,FALSE),"Product Not Found")</f>
        <v>Product Not Found</v>
      </c>
      <c r="G13" s="2" t="str">
        <f>IFERROR(VLOOKUP(C13,Inventory!$A$2:$F$21,3,FALSE),"Product Not Found")</f>
        <v>Product Not Found</v>
      </c>
      <c r="H13" s="4" t="str">
        <f>IF(ISNA(VLOOKUP(C13,Inventory!$A$2:$F$21,2,FALSE)),"Review","OK")</f>
        <v>Review</v>
      </c>
      <c r="I13" s="2" t="str">
        <f>IFERROR(INDEX(Inventory!$B$2:$B$21,MATCH(C13,Inventory!$A$2:$A$21,0)),"Product Not Found")</f>
        <v>Product Not Found</v>
      </c>
      <c r="J13" s="2" t="e">
        <f ca="1">_xludf.XLOOKUP(C13,Inventory!$A$2:$A$21,Inventory!$B$2:$B$21,"Product Not Found")</f>
        <v>#NAME?</v>
      </c>
      <c r="K13" s="9" t="str">
        <f>IFERROR(INDEX(Markup!$B$2:$E$9,MATCH(C13,Markup!$A$2:$A$9,0),MATCH(E13,Markup!$B$1:$E$1,0)),"No Markup Data")</f>
        <v>No Markup Data</v>
      </c>
      <c r="L13" s="9" t="str">
        <f>IFERROR(IF(D13&gt;5,INDEX(Markup!$B$2:$E$9,MATCH(C13,Markup!$A$2:$A$9,0),MATCH(E13,Markup!$B$1:$E$1,0))-#REF!,INDEX(Markup!$B$2:$E$9,MATCH(C13,Markup!$A$2:$A$9,0),MATCH(E13,Markup!$B$1:$E$1,0))),"No Markup Data")</f>
        <v>No Markup Data</v>
      </c>
      <c r="M13" s="3" t="e">
        <f ca="1">_xludf.XLOOKUP(C13,Inventory!$A$2:$A$21,Inventory!$D$2:$D$21,0)</f>
        <v>#NAME?</v>
      </c>
      <c r="N13" s="3" t="e">
        <f t="shared" ca="1" si="0"/>
        <v>#NAME?</v>
      </c>
      <c r="O13" s="9" t="e">
        <f ca="1">VLOOKUP(N13,#REF!,2,TRUE)</f>
        <v>#NAME?</v>
      </c>
      <c r="P13" s="10" t="e">
        <f t="shared" ca="1" si="1"/>
        <v>#NAME?</v>
      </c>
    </row>
    <row r="14" spans="1:16">
      <c r="A14" s="4" t="s">
        <v>85</v>
      </c>
      <c r="B14" s="11">
        <v>46233</v>
      </c>
      <c r="C14" s="4" t="s">
        <v>86</v>
      </c>
      <c r="D14" s="12">
        <v>5</v>
      </c>
      <c r="E14" s="4" t="s">
        <v>71</v>
      </c>
      <c r="F14" s="2" t="str">
        <f>IFERROR(VLOOKUP(C14,Inventory!$A$2:$F$21,2,FALSE),"Product Not Found")</f>
        <v>Product Not Found</v>
      </c>
      <c r="G14" s="2" t="str">
        <f>IFERROR(VLOOKUP(C14,Inventory!$A$2:$F$21,3,FALSE),"Product Not Found")</f>
        <v>Product Not Found</v>
      </c>
      <c r="H14" s="4" t="str">
        <f>IF(ISNA(VLOOKUP(C14,Inventory!$A$2:$F$21,2,FALSE)),"Review","OK")</f>
        <v>Review</v>
      </c>
      <c r="I14" s="2" t="str">
        <f>IFERROR(INDEX(Inventory!$B$2:$B$21,MATCH(C14,Inventory!$A$2:$A$21,0)),"Product Not Found")</f>
        <v>Product Not Found</v>
      </c>
      <c r="J14" s="2" t="e">
        <f ca="1">_xludf.XLOOKUP(C14,Inventory!$A$2:$A$21,Inventory!$B$2:$B$21,"Product Not Found")</f>
        <v>#NAME?</v>
      </c>
      <c r="K14" s="9" t="str">
        <f>IFERROR(INDEX(Markup!$B$2:$E$9,MATCH(C14,Markup!$A$2:$A$9,0),MATCH(E14,Markup!$B$1:$E$1,0)),"No Markup Data")</f>
        <v>No Markup Data</v>
      </c>
      <c r="L14" s="9" t="str">
        <f>IFERROR(IF(D14&gt;5,INDEX(Markup!$B$2:$E$9,MATCH(C14,Markup!$A$2:$A$9,0),MATCH(E14,Markup!$B$1:$E$1,0))-#REF!,INDEX(Markup!$B$2:$E$9,MATCH(C14,Markup!$A$2:$A$9,0),MATCH(E14,Markup!$B$1:$E$1,0))),"No Markup Data")</f>
        <v>No Markup Data</v>
      </c>
      <c r="M14" s="3" t="e">
        <f ca="1">_xludf.XLOOKUP(C14,Inventory!$A$2:$A$21,Inventory!$D$2:$D$21,0)</f>
        <v>#NAME?</v>
      </c>
      <c r="N14" s="3" t="e">
        <f t="shared" ca="1" si="0"/>
        <v>#NAME?</v>
      </c>
      <c r="O14" s="9" t="e">
        <f ca="1">VLOOKUP(N14,#REF!,2,TRUE)</f>
        <v>#NAME?</v>
      </c>
      <c r="P14" s="10" t="e">
        <f t="shared" ca="1" si="1"/>
        <v>#NAME?</v>
      </c>
    </row>
    <row r="15" spans="1:16">
      <c r="A15" s="4" t="s">
        <v>87</v>
      </c>
      <c r="B15" s="11">
        <v>46193</v>
      </c>
      <c r="C15" s="4" t="s">
        <v>31</v>
      </c>
      <c r="D15" s="12">
        <v>3</v>
      </c>
      <c r="E15" s="4" t="s">
        <v>71</v>
      </c>
      <c r="F15" s="2" t="str">
        <f>IFERROR(VLOOKUP(C15,Inventory!$A$2:$F$21,2,FALSE),"Product Not Found")</f>
        <v>Cotton T-Shirt</v>
      </c>
      <c r="G15" s="2" t="str">
        <f>IFERROR(VLOOKUP(C15,Inventory!$A$2:$F$21,3,FALSE),"Product Not Found")</f>
        <v>Apparel</v>
      </c>
      <c r="H15" s="4" t="str">
        <f>IF(ISNA(VLOOKUP(C15,Inventory!$A$2:$F$21,2,FALSE)),"Review","OK")</f>
        <v>OK</v>
      </c>
      <c r="I15" s="2" t="str">
        <f>IFERROR(INDEX(Inventory!$B$2:$B$21,MATCH(C15,Inventory!$A$2:$A$21,0)),"Product Not Found")</f>
        <v>Cotton T-Shirt</v>
      </c>
      <c r="J15" s="2" t="e">
        <f ca="1">_xludf.XLOOKUP(C15,Inventory!$A$2:$A$21,Inventory!$B$2:$B$21,"Product Not Found")</f>
        <v>#NAME?</v>
      </c>
      <c r="K15" s="9" t="str">
        <f>IFERROR(INDEX(Markup!$B$2:$E$9,MATCH(C15,Markup!$A$2:$A$9,0),MATCH(E15,Markup!$B$1:$E$1,0)),"No Markup Data")</f>
        <v>No Markup Data</v>
      </c>
      <c r="L15" s="9" t="str">
        <f>IFERROR(IF(D15&gt;5,INDEX(Markup!$B$2:$E$9,MATCH(C15,Markup!$A$2:$A$9,0),MATCH(E15,Markup!$B$1:$E$1,0))-#REF!,INDEX(Markup!$B$2:$E$9,MATCH(C15,Markup!$A$2:$A$9,0),MATCH(E15,Markup!$B$1:$E$1,0))),"No Markup Data")</f>
        <v>No Markup Data</v>
      </c>
      <c r="M15" s="3" t="e">
        <f ca="1">_xludf.XLOOKUP(C15,Inventory!$A$2:$A$21,Inventory!$D$2:$D$21,0)</f>
        <v>#NAME?</v>
      </c>
      <c r="N15" s="3" t="e">
        <f t="shared" ca="1" si="0"/>
        <v>#NAME?</v>
      </c>
      <c r="O15" s="9" t="e">
        <f ca="1">VLOOKUP(N15,#REF!,2,TRUE)</f>
        <v>#NAME?</v>
      </c>
      <c r="P15" s="10" t="e">
        <f t="shared" ca="1" si="1"/>
        <v>#NAME?</v>
      </c>
    </row>
    <row r="16" spans="1:16">
      <c r="A16" s="4" t="s">
        <v>88</v>
      </c>
      <c r="B16" s="11">
        <v>46179</v>
      </c>
      <c r="C16" s="4" t="s">
        <v>89</v>
      </c>
      <c r="D16" s="12">
        <v>2</v>
      </c>
      <c r="E16" s="4" t="s">
        <v>71</v>
      </c>
      <c r="F16" s="2" t="str">
        <f>IFERROR(VLOOKUP(C16,Inventory!$A$2:$F$21,2,FALSE),"Product Not Found")</f>
        <v>Product Not Found</v>
      </c>
      <c r="G16" s="2" t="str">
        <f>IFERROR(VLOOKUP(C16,Inventory!$A$2:$F$21,3,FALSE),"Product Not Found")</f>
        <v>Product Not Found</v>
      </c>
      <c r="H16" s="4" t="str">
        <f>IF(ISNA(VLOOKUP(C16,Inventory!$A$2:$F$21,2,FALSE)),"Review","OK")</f>
        <v>Review</v>
      </c>
      <c r="I16" s="2" t="str">
        <f>IFERROR(INDEX(Inventory!$B$2:$B$21,MATCH(C16,Inventory!$A$2:$A$21,0)),"Product Not Found")</f>
        <v>Product Not Found</v>
      </c>
      <c r="J16" s="2" t="e">
        <f ca="1">_xludf.XLOOKUP(C16,Inventory!$A$2:$A$21,Inventory!$B$2:$B$21,"Product Not Found")</f>
        <v>#NAME?</v>
      </c>
      <c r="K16" s="9" t="str">
        <f>IFERROR(INDEX(Markup!$B$2:$E$9,MATCH(C16,Markup!$A$2:$A$9,0),MATCH(E16,Markup!$B$1:$E$1,0)),"No Markup Data")</f>
        <v>No Markup Data</v>
      </c>
      <c r="L16" s="9" t="str">
        <f>IFERROR(IF(D16&gt;5,INDEX(Markup!$B$2:$E$9,MATCH(C16,Markup!$A$2:$A$9,0),MATCH(E16,Markup!$B$1:$E$1,0))-#REF!,INDEX(Markup!$B$2:$E$9,MATCH(C16,Markup!$A$2:$A$9,0),MATCH(E16,Markup!$B$1:$E$1,0))),"No Markup Data")</f>
        <v>No Markup Data</v>
      </c>
      <c r="M16" s="3" t="e">
        <f ca="1">_xludf.XLOOKUP(C16,Inventory!$A$2:$A$21,Inventory!$D$2:$D$21,0)</f>
        <v>#NAME?</v>
      </c>
      <c r="N16" s="3" t="e">
        <f t="shared" ca="1" si="0"/>
        <v>#NAME?</v>
      </c>
      <c r="O16" s="9" t="e">
        <f ca="1">VLOOKUP(N16,#REF!,2,TRUE)</f>
        <v>#NAME?</v>
      </c>
      <c r="P16" s="10" t="e">
        <f t="shared" ca="1" si="1"/>
        <v>#NAME?</v>
      </c>
    </row>
    <row r="17" spans="1:16">
      <c r="A17" s="4" t="s">
        <v>90</v>
      </c>
      <c r="B17" s="11">
        <v>46183</v>
      </c>
      <c r="C17" s="4" t="s">
        <v>8</v>
      </c>
      <c r="D17" s="12">
        <v>4</v>
      </c>
      <c r="E17" s="4" t="s">
        <v>71</v>
      </c>
      <c r="F17" s="2" t="str">
        <f>IFERROR(VLOOKUP(C17,Inventory!$A$2:$F$21,2,FALSE),"Product Not Found")</f>
        <v>Wireless Mouse</v>
      </c>
      <c r="G17" s="2" t="str">
        <f>IFERROR(VLOOKUP(C17,Inventory!$A$2:$F$21,3,FALSE),"Product Not Found")</f>
        <v>Electronics</v>
      </c>
      <c r="H17" s="4" t="str">
        <f>IF(ISNA(VLOOKUP(C17,Inventory!$A$2:$F$21,2,FALSE)),"Review","OK")</f>
        <v>OK</v>
      </c>
      <c r="I17" s="2" t="str">
        <f>IFERROR(INDEX(Inventory!$B$2:$B$21,MATCH(C17,Inventory!$A$2:$A$21,0)),"Product Not Found")</f>
        <v>Wireless Mouse</v>
      </c>
      <c r="J17" s="2" t="e">
        <f ca="1">_xludf.XLOOKUP(C17,Inventory!$A$2:$A$21,Inventory!$B$2:$B$21,"Product Not Found")</f>
        <v>#NAME?</v>
      </c>
      <c r="K17" s="9">
        <f>IFERROR(INDEX(Markup!$B$2:$E$9,MATCH(C17,Markup!$A$2:$A$9,0),MATCH(E17,Markup!$B$1:$E$1,0)),"No Markup Data")</f>
        <v>0.1</v>
      </c>
      <c r="L17" s="9">
        <f>IFERROR(IF(D17&gt;5,INDEX(Markup!$B$2:$E$9,MATCH(C17,Markup!$A$2:$A$9,0),MATCH(E17,Markup!$B$1:$E$1,0))-#REF!,INDEX(Markup!$B$2:$E$9,MATCH(C17,Markup!$A$2:$A$9,0),MATCH(E17,Markup!$B$1:$E$1,0))),"No Markup Data")</f>
        <v>0.1</v>
      </c>
      <c r="M17" s="3" t="e">
        <f ca="1">_xludf.XLOOKUP(C17,Inventory!$A$2:$A$21,Inventory!$D$2:$D$21,0)</f>
        <v>#NAME?</v>
      </c>
      <c r="N17" s="3" t="e">
        <f t="shared" ca="1" si="0"/>
        <v>#NAME?</v>
      </c>
      <c r="O17" s="9" t="e">
        <f ca="1">VLOOKUP(N17,#REF!,2,TRUE)</f>
        <v>#NAME?</v>
      </c>
      <c r="P17" s="10" t="e">
        <f t="shared" ca="1" si="1"/>
        <v>#NAME?</v>
      </c>
    </row>
    <row r="18" spans="1:16">
      <c r="A18" s="4" t="s">
        <v>91</v>
      </c>
      <c r="B18" s="11">
        <v>46214</v>
      </c>
      <c r="C18" s="4" t="s">
        <v>8</v>
      </c>
      <c r="D18" s="12">
        <v>7</v>
      </c>
      <c r="E18" s="4" t="s">
        <v>73</v>
      </c>
      <c r="F18" s="2" t="str">
        <f>IFERROR(VLOOKUP(C18,Inventory!$A$2:$F$21,2,FALSE),"Product Not Found")</f>
        <v>Wireless Mouse</v>
      </c>
      <c r="G18" s="2" t="str">
        <f>IFERROR(VLOOKUP(C18,Inventory!$A$2:$F$21,3,FALSE),"Product Not Found")</f>
        <v>Electronics</v>
      </c>
      <c r="H18" s="4" t="str">
        <f>IF(ISNA(VLOOKUP(C18,Inventory!$A$2:$F$21,2,FALSE)),"Review","OK")</f>
        <v>OK</v>
      </c>
      <c r="I18" s="2" t="str">
        <f>IFERROR(INDEX(Inventory!$B$2:$B$21,MATCH(C18,Inventory!$A$2:$A$21,0)),"Product Not Found")</f>
        <v>Wireless Mouse</v>
      </c>
      <c r="J18" s="2" t="e">
        <f ca="1">_xludf.XLOOKUP(C18,Inventory!$A$2:$A$21,Inventory!$B$2:$B$21,"Product Not Found")</f>
        <v>#NAME?</v>
      </c>
      <c r="K18" s="9">
        <f>IFERROR(INDEX(Markup!$B$2:$E$9,MATCH(C18,Markup!$A$2:$A$9,0),MATCH(E18,Markup!$B$1:$E$1,0)),"No Markup Data")</f>
        <v>0.08</v>
      </c>
      <c r="L18" s="9" t="str">
        <f>IFERROR(IF(D18&gt;5,INDEX(Markup!$B$2:$E$9,MATCH(C18,Markup!$A$2:$A$9,0),MATCH(E18,Markup!$B$1:$E$1,0))-#REF!,INDEX(Markup!$B$2:$E$9,MATCH(C18,Markup!$A$2:$A$9,0),MATCH(E18,Markup!$B$1:$E$1,0))),"No Markup Data")</f>
        <v>No Markup Data</v>
      </c>
      <c r="M18" s="3" t="e">
        <f ca="1">_xludf.XLOOKUP(C18,Inventory!$A$2:$A$21,Inventory!$D$2:$D$21,0)</f>
        <v>#NAME?</v>
      </c>
      <c r="N18" s="3" t="e">
        <f t="shared" ca="1" si="0"/>
        <v>#NAME?</v>
      </c>
      <c r="O18" s="9" t="e">
        <f ca="1">VLOOKUP(N18,#REF!,2,TRUE)</f>
        <v>#NAME?</v>
      </c>
      <c r="P18" s="10" t="e">
        <f t="shared" ca="1" si="1"/>
        <v>#NAME?</v>
      </c>
    </row>
    <row r="19" spans="1:16">
      <c r="A19" s="4" t="s">
        <v>92</v>
      </c>
      <c r="B19" s="11">
        <v>46202</v>
      </c>
      <c r="C19" s="4" t="s">
        <v>29</v>
      </c>
      <c r="D19" s="12">
        <v>3</v>
      </c>
      <c r="E19" s="4" t="s">
        <v>69</v>
      </c>
      <c r="F19" s="2" t="str">
        <f>IFERROR(VLOOKUP(C19,Inventory!$A$2:$F$21,2,FALSE),"Product Not Found")</f>
        <v>Lipstick</v>
      </c>
      <c r="G19" s="2" t="str">
        <f>IFERROR(VLOOKUP(C19,Inventory!$A$2:$F$21,3,FALSE),"Product Not Found")</f>
        <v>Beauty</v>
      </c>
      <c r="H19" s="4" t="str">
        <f>IF(ISNA(VLOOKUP(C19,Inventory!$A$2:$F$21,2,FALSE)),"Review","OK")</f>
        <v>OK</v>
      </c>
      <c r="I19" s="2" t="str">
        <f>IFERROR(INDEX(Inventory!$B$2:$B$21,MATCH(C19,Inventory!$A$2:$A$21,0)),"Product Not Found")</f>
        <v>Lipstick</v>
      </c>
      <c r="J19" s="2" t="e">
        <f ca="1">_xludf.XLOOKUP(C19,Inventory!$A$2:$A$21,Inventory!$B$2:$B$21,"Product Not Found")</f>
        <v>#NAME?</v>
      </c>
      <c r="K19" s="9" t="str">
        <f>IFERROR(INDEX(Markup!$B$2:$E$9,MATCH(C19,Markup!$A$2:$A$9,0),MATCH(E19,Markup!$B$1:$E$1,0)),"No Markup Data")</f>
        <v>No Markup Data</v>
      </c>
      <c r="L19" s="9" t="str">
        <f>IFERROR(IF(D19&gt;5,INDEX(Markup!$B$2:$E$9,MATCH(C19,Markup!$A$2:$A$9,0),MATCH(E19,Markup!$B$1:$E$1,0))-#REF!,INDEX(Markup!$B$2:$E$9,MATCH(C19,Markup!$A$2:$A$9,0),MATCH(E19,Markup!$B$1:$E$1,0))),"No Markup Data")</f>
        <v>No Markup Data</v>
      </c>
      <c r="M19" s="3" t="e">
        <f ca="1">_xludf.XLOOKUP(C19,Inventory!$A$2:$A$21,Inventory!$D$2:$D$21,0)</f>
        <v>#NAME?</v>
      </c>
      <c r="N19" s="3" t="e">
        <f t="shared" ca="1" si="0"/>
        <v>#NAME?</v>
      </c>
      <c r="O19" s="9" t="e">
        <f ca="1">VLOOKUP(N19,#REF!,2,TRUE)</f>
        <v>#NAME?</v>
      </c>
      <c r="P19" s="10" t="e">
        <f t="shared" ca="1" si="1"/>
        <v>#NAME?</v>
      </c>
    </row>
    <row r="20" spans="1:16">
      <c r="A20" s="4" t="s">
        <v>93</v>
      </c>
      <c r="B20" s="11">
        <v>46183</v>
      </c>
      <c r="C20" s="4" t="s">
        <v>39</v>
      </c>
      <c r="D20" s="12">
        <v>1</v>
      </c>
      <c r="E20" s="4" t="s">
        <v>73</v>
      </c>
      <c r="F20" s="2" t="str">
        <f>IFERROR(VLOOKUP(C20,Inventory!$A$2:$F$21,2,FALSE),"Product Not Found")</f>
        <v>Cricket Bat</v>
      </c>
      <c r="G20" s="2" t="str">
        <f>IFERROR(VLOOKUP(C20,Inventory!$A$2:$F$21,3,FALSE),"Product Not Found")</f>
        <v>Sports</v>
      </c>
      <c r="H20" s="4" t="str">
        <f>IF(ISNA(VLOOKUP(C20,Inventory!$A$2:$F$21,2,FALSE)),"Review","OK")</f>
        <v>OK</v>
      </c>
      <c r="I20" s="2" t="str">
        <f>IFERROR(INDEX(Inventory!$B$2:$B$21,MATCH(C20,Inventory!$A$2:$A$21,0)),"Product Not Found")</f>
        <v>Cricket Bat</v>
      </c>
      <c r="J20" s="2" t="e">
        <f ca="1">_xludf.XLOOKUP(C20,Inventory!$A$2:$A$21,Inventory!$B$2:$B$21,"Product Not Found")</f>
        <v>#NAME?</v>
      </c>
      <c r="K20" s="9" t="str">
        <f>IFERROR(INDEX(Markup!$B$2:$E$9,MATCH(C20,Markup!$A$2:$A$9,0),MATCH(E20,Markup!$B$1:$E$1,0)),"No Markup Data")</f>
        <v>No Markup Data</v>
      </c>
      <c r="L20" s="9" t="str">
        <f>IFERROR(IF(D20&gt;5,INDEX(Markup!$B$2:$E$9,MATCH(C20,Markup!$A$2:$A$9,0),MATCH(E20,Markup!$B$1:$E$1,0))-#REF!,INDEX(Markup!$B$2:$E$9,MATCH(C20,Markup!$A$2:$A$9,0),MATCH(E20,Markup!$B$1:$E$1,0))),"No Markup Data")</f>
        <v>No Markup Data</v>
      </c>
      <c r="M20" s="3" t="e">
        <f ca="1">_xludf.XLOOKUP(C20,Inventory!$A$2:$A$21,Inventory!$D$2:$D$21,0)</f>
        <v>#NAME?</v>
      </c>
      <c r="N20" s="3" t="e">
        <f t="shared" ca="1" si="0"/>
        <v>#NAME?</v>
      </c>
      <c r="O20" s="9" t="e">
        <f ca="1">VLOOKUP(N20,#REF!,2,TRUE)</f>
        <v>#NAME?</v>
      </c>
      <c r="P20" s="10" t="e">
        <f t="shared" ca="1" si="1"/>
        <v>#NAME?</v>
      </c>
    </row>
    <row r="21" spans="1:16">
      <c r="A21" s="4" t="s">
        <v>94</v>
      </c>
      <c r="B21" s="11">
        <v>46211</v>
      </c>
      <c r="C21" s="4" t="s">
        <v>24</v>
      </c>
      <c r="D21" s="12">
        <v>2</v>
      </c>
      <c r="E21" s="4" t="s">
        <v>73</v>
      </c>
      <c r="F21" s="2" t="str">
        <f>IFERROR(VLOOKUP(C21,Inventory!$A$2:$F$21,2,FALSE),"Product Not Found")</f>
        <v>Face Wash</v>
      </c>
      <c r="G21" s="2" t="str">
        <f>IFERROR(VLOOKUP(C21,Inventory!$A$2:$F$21,3,FALSE),"Product Not Found")</f>
        <v>Beauty</v>
      </c>
      <c r="H21" s="4" t="str">
        <f>IF(ISNA(VLOOKUP(C21,Inventory!$A$2:$F$21,2,FALSE)),"Review","OK")</f>
        <v>OK</v>
      </c>
      <c r="I21" s="2" t="str">
        <f>IFERROR(INDEX(Inventory!$B$2:$B$21,MATCH(C21,Inventory!$A$2:$A$21,0)),"Product Not Found")</f>
        <v>Face Wash</v>
      </c>
      <c r="J21" s="2" t="e">
        <f ca="1">_xludf.XLOOKUP(C21,Inventory!$A$2:$A$21,Inventory!$B$2:$B$21,"Product Not Found")</f>
        <v>#NAME?</v>
      </c>
      <c r="K21" s="9">
        <f>IFERROR(INDEX(Markup!$B$2:$E$9,MATCH(C21,Markup!$A$2:$A$9,0),MATCH(E21,Markup!$B$1:$E$1,0)),"No Markup Data")</f>
        <v>0.1</v>
      </c>
      <c r="L21" s="9">
        <f>IFERROR(IF(D21&gt;5,INDEX(Markup!$B$2:$E$9,MATCH(C21,Markup!$A$2:$A$9,0),MATCH(E21,Markup!$B$1:$E$1,0))-#REF!,INDEX(Markup!$B$2:$E$9,MATCH(C21,Markup!$A$2:$A$9,0),MATCH(E21,Markup!$B$1:$E$1,0))),"No Markup Data")</f>
        <v>0.1</v>
      </c>
      <c r="M21" s="3" t="e">
        <f ca="1">_xludf.XLOOKUP(C21,Inventory!$A$2:$A$21,Inventory!$D$2:$D$21,0)</f>
        <v>#NAME?</v>
      </c>
      <c r="N21" s="3" t="e">
        <f t="shared" ca="1" si="0"/>
        <v>#NAME?</v>
      </c>
      <c r="O21" s="9" t="e">
        <f ca="1">VLOOKUP(N21,#REF!,2,TRUE)</f>
        <v>#NAME?</v>
      </c>
      <c r="P21" s="10" t="e">
        <f t="shared" ca="1" si="1"/>
        <v>#NAME?</v>
      </c>
    </row>
    <row r="22" spans="1:16">
      <c r="A22" s="4" t="s">
        <v>95</v>
      </c>
      <c r="B22" s="11">
        <v>46197</v>
      </c>
      <c r="C22" s="4" t="s">
        <v>41</v>
      </c>
      <c r="D22" s="12">
        <v>8</v>
      </c>
      <c r="E22" s="4" t="s">
        <v>73</v>
      </c>
      <c r="F22" s="2" t="str">
        <f>IFERROR(VLOOKUP(C22,Inventory!$A$2:$F$21,2,FALSE),"Product Not Found")</f>
        <v>Yoga Mat</v>
      </c>
      <c r="G22" s="2" t="str">
        <f>IFERROR(VLOOKUP(C22,Inventory!$A$2:$F$21,3,FALSE),"Product Not Found")</f>
        <v>Sports</v>
      </c>
      <c r="H22" s="4" t="str">
        <f>IF(ISNA(VLOOKUP(C22,Inventory!$A$2:$F$21,2,FALSE)),"Review","OK")</f>
        <v>OK</v>
      </c>
      <c r="I22" s="2" t="str">
        <f>IFERROR(INDEX(Inventory!$B$2:$B$21,MATCH(C22,Inventory!$A$2:$A$21,0)),"Product Not Found")</f>
        <v>Yoga Mat</v>
      </c>
      <c r="J22" s="2" t="e">
        <f ca="1">_xludf.XLOOKUP(C22,Inventory!$A$2:$A$21,Inventory!$B$2:$B$21,"Product Not Found")</f>
        <v>#NAME?</v>
      </c>
      <c r="K22" s="9" t="str">
        <f>IFERROR(INDEX(Markup!$B$2:$E$9,MATCH(C22,Markup!$A$2:$A$9,0),MATCH(E22,Markup!$B$1:$E$1,0)),"No Markup Data")</f>
        <v>No Markup Data</v>
      </c>
      <c r="L22" s="9" t="str">
        <f>IFERROR(IF(D22&gt;5,INDEX(Markup!$B$2:$E$9,MATCH(C22,Markup!$A$2:$A$9,0),MATCH(E22,Markup!$B$1:$E$1,0))-#REF!,INDEX(Markup!$B$2:$E$9,MATCH(C22,Markup!$A$2:$A$9,0),MATCH(E22,Markup!$B$1:$E$1,0))),"No Markup Data")</f>
        <v>No Markup Data</v>
      </c>
      <c r="M22" s="3" t="e">
        <f ca="1">_xludf.XLOOKUP(C22,Inventory!$A$2:$A$21,Inventory!$D$2:$D$21,0)</f>
        <v>#NAME?</v>
      </c>
      <c r="N22" s="3" t="e">
        <f t="shared" ca="1" si="0"/>
        <v>#NAME?</v>
      </c>
      <c r="O22" s="9" t="e">
        <f ca="1">VLOOKUP(N22,#REF!,2,TRUE)</f>
        <v>#NAME?</v>
      </c>
      <c r="P22" s="10" t="e">
        <f t="shared" ca="1" si="1"/>
        <v>#NAME?</v>
      </c>
    </row>
    <row r="23" spans="1:16">
      <c r="A23" s="4" t="s">
        <v>96</v>
      </c>
      <c r="B23" s="11">
        <v>46231</v>
      </c>
      <c r="C23" s="4" t="s">
        <v>24</v>
      </c>
      <c r="D23" s="12">
        <v>4</v>
      </c>
      <c r="E23" s="4" t="s">
        <v>69</v>
      </c>
      <c r="F23" s="2" t="str">
        <f>IFERROR(VLOOKUP(C23,Inventory!$A$2:$F$21,2,FALSE),"Product Not Found")</f>
        <v>Face Wash</v>
      </c>
      <c r="G23" s="2" t="str">
        <f>IFERROR(VLOOKUP(C23,Inventory!$A$2:$F$21,3,FALSE),"Product Not Found")</f>
        <v>Beauty</v>
      </c>
      <c r="H23" s="4" t="str">
        <f>IF(ISNA(VLOOKUP(C23,Inventory!$A$2:$F$21,2,FALSE)),"Review","OK")</f>
        <v>OK</v>
      </c>
      <c r="I23" s="2" t="str">
        <f>IFERROR(INDEX(Inventory!$B$2:$B$21,MATCH(C23,Inventory!$A$2:$A$21,0)),"Product Not Found")</f>
        <v>Face Wash</v>
      </c>
      <c r="J23" s="2" t="e">
        <f ca="1">_xludf.XLOOKUP(C23,Inventory!$A$2:$A$21,Inventory!$B$2:$B$21,"Product Not Found")</f>
        <v>#NAME?</v>
      </c>
      <c r="K23" s="9">
        <f>IFERROR(INDEX(Markup!$B$2:$E$9,MATCH(C23,Markup!$A$2:$A$9,0),MATCH(E23,Markup!$B$1:$E$1,0)),"No Markup Data")</f>
        <v>0.08</v>
      </c>
      <c r="L23" s="9">
        <f>IFERROR(IF(D23&gt;5,INDEX(Markup!$B$2:$E$9,MATCH(C23,Markup!$A$2:$A$9,0),MATCH(E23,Markup!$B$1:$E$1,0))-#REF!,INDEX(Markup!$B$2:$E$9,MATCH(C23,Markup!$A$2:$A$9,0),MATCH(E23,Markup!$B$1:$E$1,0))),"No Markup Data")</f>
        <v>0.08</v>
      </c>
      <c r="M23" s="3" t="e">
        <f ca="1">_xludf.XLOOKUP(C23,Inventory!$A$2:$A$21,Inventory!$D$2:$D$21,0)</f>
        <v>#NAME?</v>
      </c>
      <c r="N23" s="3" t="e">
        <f t="shared" ca="1" si="0"/>
        <v>#NAME?</v>
      </c>
      <c r="O23" s="9" t="e">
        <f ca="1">VLOOKUP(N23,#REF!,2,TRUE)</f>
        <v>#NAME?</v>
      </c>
      <c r="P23" s="10" t="e">
        <f t="shared" ca="1" si="1"/>
        <v>#NAME?</v>
      </c>
    </row>
    <row r="24" spans="1:16">
      <c r="A24" s="4" t="s">
        <v>97</v>
      </c>
      <c r="B24" s="11">
        <v>46219</v>
      </c>
      <c r="C24" s="4" t="s">
        <v>34</v>
      </c>
      <c r="D24" s="12">
        <v>8</v>
      </c>
      <c r="E24" s="4" t="s">
        <v>69</v>
      </c>
      <c r="F24" s="2" t="str">
        <f>IFERROR(VLOOKUP(C24,Inventory!$A$2:$F$21,2,FALSE),"Product Not Found")</f>
        <v>Denim Jeans</v>
      </c>
      <c r="G24" s="2" t="str">
        <f>IFERROR(VLOOKUP(C24,Inventory!$A$2:$F$21,3,FALSE),"Product Not Found")</f>
        <v>Apparel</v>
      </c>
      <c r="H24" s="4" t="str">
        <f>IF(ISNA(VLOOKUP(C24,Inventory!$A$2:$F$21,2,FALSE)),"Review","OK")</f>
        <v>OK</v>
      </c>
      <c r="I24" s="2" t="str">
        <f>IFERROR(INDEX(Inventory!$B$2:$B$21,MATCH(C24,Inventory!$A$2:$A$21,0)),"Product Not Found")</f>
        <v>Denim Jeans</v>
      </c>
      <c r="J24" s="2" t="e">
        <f ca="1">_xludf.XLOOKUP(C24,Inventory!$A$2:$A$21,Inventory!$B$2:$B$21,"Product Not Found")</f>
        <v>#NAME?</v>
      </c>
      <c r="K24" s="9" t="str">
        <f>IFERROR(INDEX(Markup!$B$2:$E$9,MATCH(C24,Markup!$A$2:$A$9,0),MATCH(E24,Markup!$B$1:$E$1,0)),"No Markup Data")</f>
        <v>No Markup Data</v>
      </c>
      <c r="L24" s="9" t="str">
        <f>IFERROR(IF(D24&gt;5,INDEX(Markup!$B$2:$E$9,MATCH(C24,Markup!$A$2:$A$9,0),MATCH(E24,Markup!$B$1:$E$1,0))-#REF!,INDEX(Markup!$B$2:$E$9,MATCH(C24,Markup!$A$2:$A$9,0),MATCH(E24,Markup!$B$1:$E$1,0))),"No Markup Data")</f>
        <v>No Markup Data</v>
      </c>
      <c r="M24" s="3" t="e">
        <f ca="1">_xludf.XLOOKUP(C24,Inventory!$A$2:$A$21,Inventory!$D$2:$D$21,0)</f>
        <v>#NAME?</v>
      </c>
      <c r="N24" s="3" t="e">
        <f t="shared" ca="1" si="0"/>
        <v>#NAME?</v>
      </c>
      <c r="O24" s="9" t="e">
        <f ca="1">VLOOKUP(N24,#REF!,2,TRUE)</f>
        <v>#NAME?</v>
      </c>
      <c r="P24" s="10" t="e">
        <f t="shared" ca="1" si="1"/>
        <v>#NAME?</v>
      </c>
    </row>
    <row r="25" spans="1:16">
      <c r="A25" s="4" t="s">
        <v>98</v>
      </c>
      <c r="B25" s="11">
        <v>46212</v>
      </c>
      <c r="C25" s="4" t="s">
        <v>52</v>
      </c>
      <c r="D25" s="12">
        <v>2</v>
      </c>
      <c r="E25" s="4" t="s">
        <v>71</v>
      </c>
      <c r="F25" s="2" t="str">
        <f>IFERROR(VLOOKUP(C25,Inventory!$A$2:$F$21,2,FALSE),"Product Not Found")</f>
        <v>Table Lamp</v>
      </c>
      <c r="G25" s="2" t="str">
        <f>IFERROR(VLOOKUP(C25,Inventory!$A$2:$F$21,3,FALSE),"Product Not Found")</f>
        <v>Home &amp; Kitchen</v>
      </c>
      <c r="H25" s="4" t="str">
        <f>IF(ISNA(VLOOKUP(C25,Inventory!$A$2:$F$21,2,FALSE)),"Review","OK")</f>
        <v>OK</v>
      </c>
      <c r="I25" s="2" t="str">
        <f>IFERROR(INDEX(Inventory!$B$2:$B$21,MATCH(C25,Inventory!$A$2:$A$21,0)),"Product Not Found")</f>
        <v>Table Lamp</v>
      </c>
      <c r="J25" s="2" t="e">
        <f ca="1">_xludf.XLOOKUP(C25,Inventory!$A$2:$A$21,Inventory!$B$2:$B$21,"Product Not Found")</f>
        <v>#NAME?</v>
      </c>
      <c r="K25" s="9" t="str">
        <f>IFERROR(INDEX(Markup!$B$2:$E$9,MATCH(C25,Markup!$A$2:$A$9,0),MATCH(E25,Markup!$B$1:$E$1,0)),"No Markup Data")</f>
        <v>No Markup Data</v>
      </c>
      <c r="L25" s="9" t="str">
        <f>IFERROR(IF(D25&gt;5,INDEX(Markup!$B$2:$E$9,MATCH(C25,Markup!$A$2:$A$9,0),MATCH(E25,Markup!$B$1:$E$1,0))-#REF!,INDEX(Markup!$B$2:$E$9,MATCH(C25,Markup!$A$2:$A$9,0),MATCH(E25,Markup!$B$1:$E$1,0))),"No Markup Data")</f>
        <v>No Markup Data</v>
      </c>
      <c r="M25" s="3" t="e">
        <f ca="1">_xludf.XLOOKUP(C25,Inventory!$A$2:$A$21,Inventory!$D$2:$D$21,0)</f>
        <v>#NAME?</v>
      </c>
      <c r="N25" s="3" t="e">
        <f t="shared" ca="1" si="0"/>
        <v>#NAME?</v>
      </c>
      <c r="O25" s="9" t="e">
        <f ca="1">VLOOKUP(N25,#REF!,2,TRUE)</f>
        <v>#NAME?</v>
      </c>
      <c r="P25" s="10" t="e">
        <f t="shared" ca="1" si="1"/>
        <v>#NAME?</v>
      </c>
    </row>
    <row r="26" spans="1:16">
      <c r="A26" s="4" t="s">
        <v>99</v>
      </c>
      <c r="B26" s="11">
        <v>46221</v>
      </c>
      <c r="C26" s="4" t="s">
        <v>39</v>
      </c>
      <c r="D26" s="12">
        <v>3</v>
      </c>
      <c r="E26" s="4" t="s">
        <v>71</v>
      </c>
      <c r="F26" s="2" t="str">
        <f>IFERROR(VLOOKUP(C26,Inventory!$A$2:$F$21,2,FALSE),"Product Not Found")</f>
        <v>Cricket Bat</v>
      </c>
      <c r="G26" s="2" t="str">
        <f>IFERROR(VLOOKUP(C26,Inventory!$A$2:$F$21,3,FALSE),"Product Not Found")</f>
        <v>Sports</v>
      </c>
      <c r="H26" s="4" t="str">
        <f>IF(ISNA(VLOOKUP(C26,Inventory!$A$2:$F$21,2,FALSE)),"Review","OK")</f>
        <v>OK</v>
      </c>
      <c r="I26" s="2" t="str">
        <f>IFERROR(INDEX(Inventory!$B$2:$B$21,MATCH(C26,Inventory!$A$2:$A$21,0)),"Product Not Found")</f>
        <v>Cricket Bat</v>
      </c>
      <c r="J26" s="2" t="e">
        <f ca="1">_xludf.XLOOKUP(C26,Inventory!$A$2:$A$21,Inventory!$B$2:$B$21,"Product Not Found")</f>
        <v>#NAME?</v>
      </c>
      <c r="K26" s="9" t="str">
        <f>IFERROR(INDEX(Markup!$B$2:$E$9,MATCH(C26,Markup!$A$2:$A$9,0),MATCH(E26,Markup!$B$1:$E$1,0)),"No Markup Data")</f>
        <v>No Markup Data</v>
      </c>
      <c r="L26" s="9" t="str">
        <f>IFERROR(IF(D26&gt;5,INDEX(Markup!$B$2:$E$9,MATCH(C26,Markup!$A$2:$A$9,0),MATCH(E26,Markup!$B$1:$E$1,0))-#REF!,INDEX(Markup!$B$2:$E$9,MATCH(C26,Markup!$A$2:$A$9,0),MATCH(E26,Markup!$B$1:$E$1,0))),"No Markup Data")</f>
        <v>No Markup Data</v>
      </c>
      <c r="M26" s="3" t="e">
        <f ca="1">_xludf.XLOOKUP(C26,Inventory!$A$2:$A$21,Inventory!$D$2:$D$21,0)</f>
        <v>#NAME?</v>
      </c>
      <c r="N26" s="3" t="e">
        <f t="shared" ca="1" si="0"/>
        <v>#NAME?</v>
      </c>
      <c r="O26" s="9" t="e">
        <f ca="1">VLOOKUP(N26,#REF!,2,TRUE)</f>
        <v>#NAME?</v>
      </c>
      <c r="P26" s="10" t="e">
        <f t="shared" ca="1" si="1"/>
        <v>#NAME?</v>
      </c>
    </row>
    <row r="27" spans="1:16">
      <c r="A27" s="4" t="s">
        <v>100</v>
      </c>
      <c r="B27" s="11">
        <v>46198</v>
      </c>
      <c r="C27" s="4" t="s">
        <v>15</v>
      </c>
      <c r="D27" s="12">
        <v>2</v>
      </c>
      <c r="E27" s="4" t="s">
        <v>69</v>
      </c>
      <c r="F27" s="2" t="str">
        <f>IFERROR(VLOOKUP(C27,Inventory!$A$2:$F$21,2,FALSE),"Product Not Found")</f>
        <v>Bluetooth Speaker</v>
      </c>
      <c r="G27" s="2" t="str">
        <f>IFERROR(VLOOKUP(C27,Inventory!$A$2:$F$21,3,FALSE),"Product Not Found")</f>
        <v>Electronics</v>
      </c>
      <c r="H27" s="4" t="str">
        <f>IF(ISNA(VLOOKUP(C27,Inventory!$A$2:$F$21,2,FALSE)),"Review","OK")</f>
        <v>OK</v>
      </c>
      <c r="I27" s="2" t="str">
        <f>IFERROR(INDEX(Inventory!$B$2:$B$21,MATCH(C27,Inventory!$A$2:$A$21,0)),"Product Not Found")</f>
        <v>Bluetooth Speaker</v>
      </c>
      <c r="J27" s="2" t="e">
        <f ca="1">_xludf.XLOOKUP(C27,Inventory!$A$2:$A$21,Inventory!$B$2:$B$21,"Product Not Found")</f>
        <v>#NAME?</v>
      </c>
      <c r="K27" s="9">
        <f>IFERROR(INDEX(Markup!$B$2:$E$9,MATCH(C27,Markup!$A$2:$A$9,0),MATCH(E27,Markup!$B$1:$E$1,0)),"No Markup Data")</f>
        <v>0.06</v>
      </c>
      <c r="L27" s="9">
        <f>IFERROR(IF(D27&gt;5,INDEX(Markup!$B$2:$E$9,MATCH(C27,Markup!$A$2:$A$9,0),MATCH(E27,Markup!$B$1:$E$1,0))-#REF!,INDEX(Markup!$B$2:$E$9,MATCH(C27,Markup!$A$2:$A$9,0),MATCH(E27,Markup!$B$1:$E$1,0))),"No Markup Data")</f>
        <v>0.06</v>
      </c>
      <c r="M27" s="3" t="e">
        <f ca="1">_xludf.XLOOKUP(C27,Inventory!$A$2:$A$21,Inventory!$D$2:$D$21,0)</f>
        <v>#NAME?</v>
      </c>
      <c r="N27" s="3" t="e">
        <f t="shared" ca="1" si="0"/>
        <v>#NAME?</v>
      </c>
      <c r="O27" s="9" t="e">
        <f ca="1">VLOOKUP(N27,#REF!,2,TRUE)</f>
        <v>#NAME?</v>
      </c>
      <c r="P27" s="10" t="e">
        <f t="shared" ca="1" si="1"/>
        <v>#NAME?</v>
      </c>
    </row>
    <row r="28" spans="1:16">
      <c r="A28" s="4" t="s">
        <v>101</v>
      </c>
      <c r="B28" s="11">
        <v>46182</v>
      </c>
      <c r="C28" s="4" t="s">
        <v>31</v>
      </c>
      <c r="D28" s="12">
        <v>3</v>
      </c>
      <c r="E28" s="4" t="s">
        <v>69</v>
      </c>
      <c r="F28" s="2" t="str">
        <f>IFERROR(VLOOKUP(C28,Inventory!$A$2:$F$21,2,FALSE),"Product Not Found")</f>
        <v>Cotton T-Shirt</v>
      </c>
      <c r="G28" s="2" t="str">
        <f>IFERROR(VLOOKUP(C28,Inventory!$A$2:$F$21,3,FALSE),"Product Not Found")</f>
        <v>Apparel</v>
      </c>
      <c r="H28" s="4" t="str">
        <f>IF(ISNA(VLOOKUP(C28,Inventory!$A$2:$F$21,2,FALSE)),"Review","OK")</f>
        <v>OK</v>
      </c>
      <c r="I28" s="2" t="str">
        <f>IFERROR(INDEX(Inventory!$B$2:$B$21,MATCH(C28,Inventory!$A$2:$A$21,0)),"Product Not Found")</f>
        <v>Cotton T-Shirt</v>
      </c>
      <c r="J28" s="2" t="e">
        <f ca="1">_xludf.XLOOKUP(C28,Inventory!$A$2:$A$21,Inventory!$B$2:$B$21,"Product Not Found")</f>
        <v>#NAME?</v>
      </c>
      <c r="K28" s="9" t="str">
        <f>IFERROR(INDEX(Markup!$B$2:$E$9,MATCH(C28,Markup!$A$2:$A$9,0),MATCH(E28,Markup!$B$1:$E$1,0)),"No Markup Data")</f>
        <v>No Markup Data</v>
      </c>
      <c r="L28" s="9" t="str">
        <f>IFERROR(IF(D28&gt;5,INDEX(Markup!$B$2:$E$9,MATCH(C28,Markup!$A$2:$A$9,0),MATCH(E28,Markup!$B$1:$E$1,0))-#REF!,INDEX(Markup!$B$2:$E$9,MATCH(C28,Markup!$A$2:$A$9,0),MATCH(E28,Markup!$B$1:$E$1,0))),"No Markup Data")</f>
        <v>No Markup Data</v>
      </c>
      <c r="M28" s="3" t="e">
        <f ca="1">_xludf.XLOOKUP(C28,Inventory!$A$2:$A$21,Inventory!$D$2:$D$21,0)</f>
        <v>#NAME?</v>
      </c>
      <c r="N28" s="3" t="e">
        <f t="shared" ca="1" si="0"/>
        <v>#NAME?</v>
      </c>
      <c r="O28" s="9" t="e">
        <f ca="1">VLOOKUP(N28,#REF!,2,TRUE)</f>
        <v>#NAME?</v>
      </c>
      <c r="P28" s="10" t="e">
        <f t="shared" ca="1" si="1"/>
        <v>#NAME?</v>
      </c>
    </row>
    <row r="29" spans="1:16">
      <c r="A29" s="4" t="s">
        <v>102</v>
      </c>
      <c r="B29" s="11">
        <v>46188</v>
      </c>
      <c r="C29" s="4" t="s">
        <v>46</v>
      </c>
      <c r="D29" s="12">
        <v>8</v>
      </c>
      <c r="E29" s="4" t="s">
        <v>71</v>
      </c>
      <c r="F29" s="2" t="str">
        <f>IFERROR(VLOOKUP(C29,Inventory!$A$2:$F$21,2,FALSE),"Product Not Found")</f>
        <v>Non-Stick Pan</v>
      </c>
      <c r="G29" s="2" t="str">
        <f>IFERROR(VLOOKUP(C29,Inventory!$A$2:$F$21,3,FALSE),"Product Not Found")</f>
        <v>Home &amp; Kitchen</v>
      </c>
      <c r="H29" s="4" t="str">
        <f>IF(ISNA(VLOOKUP(C29,Inventory!$A$2:$F$21,2,FALSE)),"Review","OK")</f>
        <v>OK</v>
      </c>
      <c r="I29" s="2" t="str">
        <f>IFERROR(INDEX(Inventory!$B$2:$B$21,MATCH(C29,Inventory!$A$2:$A$21,0)),"Product Not Found")</f>
        <v>Non-Stick Pan</v>
      </c>
      <c r="J29" s="2" t="e">
        <f ca="1">_xludf.XLOOKUP(C29,Inventory!$A$2:$A$21,Inventory!$B$2:$B$21,"Product Not Found")</f>
        <v>#NAME?</v>
      </c>
      <c r="K29" s="9" t="str">
        <f>IFERROR(INDEX(Markup!$B$2:$E$9,MATCH(C29,Markup!$A$2:$A$9,0),MATCH(E29,Markup!$B$1:$E$1,0)),"No Markup Data")</f>
        <v>No Markup Data</v>
      </c>
      <c r="L29" s="9" t="str">
        <f>IFERROR(IF(D29&gt;5,INDEX(Markup!$B$2:$E$9,MATCH(C29,Markup!$A$2:$A$9,0),MATCH(E29,Markup!$B$1:$E$1,0))-#REF!,INDEX(Markup!$B$2:$E$9,MATCH(C29,Markup!$A$2:$A$9,0),MATCH(E29,Markup!$B$1:$E$1,0))),"No Markup Data")</f>
        <v>No Markup Data</v>
      </c>
      <c r="M29" s="3" t="e">
        <f ca="1">_xludf.XLOOKUP(C29,Inventory!$A$2:$A$21,Inventory!$D$2:$D$21,0)</f>
        <v>#NAME?</v>
      </c>
      <c r="N29" s="3" t="e">
        <f t="shared" ca="1" si="0"/>
        <v>#NAME?</v>
      </c>
      <c r="O29" s="9" t="e">
        <f ca="1">VLOOKUP(N29,#REF!,2,TRUE)</f>
        <v>#NAME?</v>
      </c>
      <c r="P29" s="10" t="e">
        <f t="shared" ca="1" si="1"/>
        <v>#NAME?</v>
      </c>
    </row>
    <row r="30" spans="1:16">
      <c r="A30" s="4" t="s">
        <v>103</v>
      </c>
      <c r="B30" s="11">
        <v>46217</v>
      </c>
      <c r="C30" s="4" t="s">
        <v>27</v>
      </c>
      <c r="D30" s="12">
        <v>1</v>
      </c>
      <c r="E30" s="4" t="s">
        <v>75</v>
      </c>
      <c r="F30" s="2" t="str">
        <f>IFERROR(VLOOKUP(C30,Inventory!$A$2:$F$21,2,FALSE),"Product Not Found")</f>
        <v>Moisturizer</v>
      </c>
      <c r="G30" s="2" t="str">
        <f>IFERROR(VLOOKUP(C30,Inventory!$A$2:$F$21,3,FALSE),"Product Not Found")</f>
        <v>Beauty</v>
      </c>
      <c r="H30" s="4" t="str">
        <f>IF(ISNA(VLOOKUP(C30,Inventory!$A$2:$F$21,2,FALSE)),"Review","OK")</f>
        <v>OK</v>
      </c>
      <c r="I30" s="2" t="str">
        <f>IFERROR(INDEX(Inventory!$B$2:$B$21,MATCH(C30,Inventory!$A$2:$A$21,0)),"Product Not Found")</f>
        <v>Moisturizer</v>
      </c>
      <c r="J30" s="2" t="e">
        <f ca="1">_xludf.XLOOKUP(C30,Inventory!$A$2:$A$21,Inventory!$B$2:$B$21,"Product Not Found")</f>
        <v>#NAME?</v>
      </c>
      <c r="K30" s="9">
        <f>IFERROR(INDEX(Markup!$B$2:$E$9,MATCH(C30,Markup!$A$2:$A$9,0),MATCH(E30,Markup!$B$1:$E$1,0)),"No Markup Data")</f>
        <v>0.03</v>
      </c>
      <c r="L30" s="9">
        <f>IFERROR(IF(D30&gt;5,INDEX(Markup!$B$2:$E$9,MATCH(C30,Markup!$A$2:$A$9,0),MATCH(E30,Markup!$B$1:$E$1,0))-#REF!,INDEX(Markup!$B$2:$E$9,MATCH(C30,Markup!$A$2:$A$9,0),MATCH(E30,Markup!$B$1:$E$1,0))),"No Markup Data")</f>
        <v>0.03</v>
      </c>
      <c r="M30" s="3" t="e">
        <f ca="1">_xludf.XLOOKUP(C30,Inventory!$A$2:$A$21,Inventory!$D$2:$D$21,0)</f>
        <v>#NAME?</v>
      </c>
      <c r="N30" s="3" t="e">
        <f t="shared" ca="1" si="0"/>
        <v>#NAME?</v>
      </c>
      <c r="O30" s="9" t="e">
        <f ca="1">VLOOKUP(N30,#REF!,2,TRUE)</f>
        <v>#NAME?</v>
      </c>
      <c r="P30" s="10" t="e">
        <f t="shared" ca="1" si="1"/>
        <v>#NAME?</v>
      </c>
    </row>
    <row r="31" spans="1:16">
      <c r="A31" s="4" t="s">
        <v>104</v>
      </c>
      <c r="B31" s="11">
        <v>46224</v>
      </c>
      <c r="C31" s="4" t="s">
        <v>27</v>
      </c>
      <c r="D31" s="12">
        <v>5</v>
      </c>
      <c r="E31" s="4" t="s">
        <v>69</v>
      </c>
      <c r="F31" s="2" t="str">
        <f>IFERROR(VLOOKUP(C31,Inventory!$A$2:$F$21,2,FALSE),"Product Not Found")</f>
        <v>Moisturizer</v>
      </c>
      <c r="G31" s="2" t="str">
        <f>IFERROR(VLOOKUP(C31,Inventory!$A$2:$F$21,3,FALSE),"Product Not Found")</f>
        <v>Beauty</v>
      </c>
      <c r="H31" s="4" t="str">
        <f>IF(ISNA(VLOOKUP(C31,Inventory!$A$2:$F$21,2,FALSE)),"Review","OK")</f>
        <v>OK</v>
      </c>
      <c r="I31" s="2" t="str">
        <f>IFERROR(INDEX(Inventory!$B$2:$B$21,MATCH(C31,Inventory!$A$2:$A$21,0)),"Product Not Found")</f>
        <v>Moisturizer</v>
      </c>
      <c r="J31" s="2" t="e">
        <f ca="1">_xludf.XLOOKUP(C31,Inventory!$A$2:$A$21,Inventory!$B$2:$B$21,"Product Not Found")</f>
        <v>#NAME?</v>
      </c>
      <c r="K31" s="9">
        <f>IFERROR(INDEX(Markup!$B$2:$E$9,MATCH(C31,Markup!$A$2:$A$9,0),MATCH(E31,Markup!$B$1:$E$1,0)),"No Markup Data")</f>
        <v>0.09</v>
      </c>
      <c r="L31" s="9">
        <f>IFERROR(IF(D31&gt;5,INDEX(Markup!$B$2:$E$9,MATCH(C31,Markup!$A$2:$A$9,0),MATCH(E31,Markup!$B$1:$E$1,0))-#REF!,INDEX(Markup!$B$2:$E$9,MATCH(C31,Markup!$A$2:$A$9,0),MATCH(E31,Markup!$B$1:$E$1,0))),"No Markup Data")</f>
        <v>0.09</v>
      </c>
      <c r="M31" s="3" t="e">
        <f ca="1">_xludf.XLOOKUP(C31,Inventory!$A$2:$A$21,Inventory!$D$2:$D$21,0)</f>
        <v>#NAME?</v>
      </c>
      <c r="N31" s="3" t="e">
        <f t="shared" ca="1" si="0"/>
        <v>#NAME?</v>
      </c>
      <c r="O31" s="9" t="e">
        <f ca="1">VLOOKUP(N31,#REF!,2,TRUE)</f>
        <v>#NAME?</v>
      </c>
      <c r="P31" s="10" t="e">
        <f t="shared" ca="1" si="1"/>
        <v>#NAME?</v>
      </c>
    </row>
    <row r="34" spans="1:8">
      <c r="A34" s="15" t="s">
        <v>105</v>
      </c>
      <c r="B34" s="17"/>
      <c r="C34" s="17"/>
      <c r="D34" s="16"/>
    </row>
    <row r="35" spans="1:8">
      <c r="A35" s="18" t="s">
        <v>106</v>
      </c>
      <c r="B35" s="19"/>
      <c r="C35" s="19"/>
      <c r="D35" s="13" t="str">
        <f>VLOOKUP("P018",Inventory!$A$2:$F$21,2)</f>
        <v>Water Bottle</v>
      </c>
    </row>
    <row r="36" spans="1:8">
      <c r="A36" s="18" t="s">
        <v>107</v>
      </c>
      <c r="B36" s="19"/>
      <c r="C36" s="19"/>
      <c r="D36" s="13" t="str">
        <f>VLOOKUP("P018",Inventory!$A$2:$F$21,2,FALSE)</f>
        <v>Water Bottle</v>
      </c>
    </row>
    <row r="37" spans="1:8">
      <c r="A37" s="18" t="s">
        <v>108</v>
      </c>
      <c r="B37" s="19"/>
      <c r="C37" s="19"/>
      <c r="D37" s="13">
        <f>COUNTIF(H2:H31,"Review")</f>
        <v>3</v>
      </c>
    </row>
    <row r="39" spans="1:8" ht="30" customHeight="1">
      <c r="A39" s="20" t="s">
        <v>109</v>
      </c>
      <c r="B39" s="21"/>
      <c r="C39" s="21"/>
      <c r="D39" s="21"/>
      <c r="E39" s="21"/>
      <c r="F39" s="21"/>
      <c r="G39" s="21"/>
      <c r="H39" s="22"/>
    </row>
    <row r="40" spans="1:8" ht="30" customHeight="1">
      <c r="A40" s="23"/>
      <c r="B40" s="24"/>
      <c r="C40" s="24"/>
      <c r="D40" s="24"/>
      <c r="E40" s="24"/>
      <c r="F40" s="24"/>
      <c r="G40" s="24"/>
      <c r="H40" s="25"/>
    </row>
  </sheetData>
  <mergeCells count="5">
    <mergeCell ref="A34:D34"/>
    <mergeCell ref="A35:C35"/>
    <mergeCell ref="A36:C36"/>
    <mergeCell ref="A37:C37"/>
    <mergeCell ref="A39:H40"/>
  </mergeCells>
  <conditionalFormatting sqref="A2:P31">
    <cfRule type="expression" dxfId="0" priority="1">
      <formula>$H2="Review"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"/>
  <sheetViews>
    <sheetView showGridLines="0" workbookViewId="0"/>
  </sheetViews>
  <sheetFormatPr defaultRowHeight="14.25"/>
  <cols>
    <col min="1" max="5" width="17" customWidth="1"/>
    <col min="7" max="7" width="14" customWidth="1"/>
    <col min="8" max="9" width="22" customWidth="1"/>
  </cols>
  <sheetData>
    <row r="1" spans="1:9" ht="30" customHeight="1">
      <c r="A1" s="1" t="s">
        <v>59</v>
      </c>
      <c r="B1" s="1" t="s">
        <v>110</v>
      </c>
      <c r="C1" s="1" t="s">
        <v>111</v>
      </c>
      <c r="D1" s="1" t="s">
        <v>112</v>
      </c>
      <c r="E1" s="1" t="s">
        <v>113</v>
      </c>
      <c r="G1" s="1" t="s">
        <v>59</v>
      </c>
      <c r="H1" s="1" t="s">
        <v>114</v>
      </c>
      <c r="I1" s="1" t="s">
        <v>115</v>
      </c>
    </row>
    <row r="2" spans="1:9">
      <c r="A2" s="2" t="s">
        <v>69</v>
      </c>
      <c r="B2" s="3">
        <v>250000</v>
      </c>
      <c r="C2" s="3">
        <v>275000</v>
      </c>
      <c r="D2" s="3">
        <v>260000</v>
      </c>
      <c r="E2" s="3">
        <v>300000</v>
      </c>
      <c r="G2" s="5" t="s">
        <v>69</v>
      </c>
      <c r="H2" s="8">
        <f>HLOOKUP("Q3 Target",QuarterlyTargets!$A$1:$E$5,MATCH(G2,QuarterlyTargets!$A$1:$A$5,0),FALSE)</f>
        <v>260000</v>
      </c>
      <c r="I2" s="8">
        <f>HLOOKUP("Q4 Target",QuarterlyTargets!$A$1:$E$5,MATCH(G2,QuarterlyTargets!$A$1:$A$5,0),FALSE)</f>
        <v>300000</v>
      </c>
    </row>
    <row r="3" spans="1:9">
      <c r="A3" s="2" t="s">
        <v>73</v>
      </c>
      <c r="B3" s="3">
        <v>220000</v>
      </c>
      <c r="C3" s="3">
        <v>230000</v>
      </c>
      <c r="D3" s="3">
        <v>245000</v>
      </c>
      <c r="E3" s="3">
        <v>260000</v>
      </c>
      <c r="G3" s="5" t="s">
        <v>73</v>
      </c>
      <c r="H3" s="8">
        <f>HLOOKUP("Q3 Target",QuarterlyTargets!$A$1:$E$5,MATCH(G3,QuarterlyTargets!$A$1:$A$5,0),FALSE)</f>
        <v>245000</v>
      </c>
      <c r="I3" s="8">
        <f>HLOOKUP("Q4 Target",QuarterlyTargets!$A$1:$E$5,MATCH(G3,QuarterlyTargets!$A$1:$A$5,0),FALSE)</f>
        <v>260000</v>
      </c>
    </row>
    <row r="4" spans="1:9">
      <c r="A4" s="2" t="s">
        <v>71</v>
      </c>
      <c r="B4" s="3">
        <v>180000</v>
      </c>
      <c r="C4" s="3">
        <v>190000</v>
      </c>
      <c r="D4" s="3">
        <v>200000</v>
      </c>
      <c r="E4" s="3">
        <v>210000</v>
      </c>
      <c r="G4" s="5" t="s">
        <v>71</v>
      </c>
      <c r="H4" s="8">
        <f>HLOOKUP("Q3 Target",QuarterlyTargets!$A$1:$E$5,MATCH(G4,QuarterlyTargets!$A$1:$A$5,0),FALSE)</f>
        <v>200000</v>
      </c>
      <c r="I4" s="8">
        <f>HLOOKUP("Q4 Target",QuarterlyTargets!$A$1:$E$5,MATCH(G4,QuarterlyTargets!$A$1:$A$5,0),FALSE)</f>
        <v>210000</v>
      </c>
    </row>
    <row r="5" spans="1:9">
      <c r="A5" s="2" t="s">
        <v>75</v>
      </c>
      <c r="B5" s="3">
        <v>300000</v>
      </c>
      <c r="C5" s="3">
        <v>310000</v>
      </c>
      <c r="D5" s="3">
        <v>295000</v>
      </c>
      <c r="E5" s="3">
        <v>330000</v>
      </c>
      <c r="G5" s="5" t="s">
        <v>75</v>
      </c>
      <c r="H5" s="8">
        <f>HLOOKUP("Q3 Target",QuarterlyTargets!$A$1:$E$5,MATCH(G5,QuarterlyTargets!$A$1:$A$5,0),FALSE)</f>
        <v>295000</v>
      </c>
      <c r="I5" s="8">
        <f>HLOOKUP("Q4 Target",QuarterlyTargets!$A$1:$E$5,MATCH(G5,QuarterlyTargets!$A$1:$A$5,0),FALSE)</f>
        <v>330000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showGridLines="0" tabSelected="1" workbookViewId="0"/>
  </sheetViews>
  <sheetFormatPr defaultRowHeight="14.25"/>
  <cols>
    <col min="1" max="1" width="16" customWidth="1"/>
    <col min="2" max="5" width="13" customWidth="1"/>
    <col min="7" max="7" width="20" customWidth="1"/>
    <col min="8" max="8" width="17" customWidth="1"/>
  </cols>
  <sheetData>
    <row r="1" spans="1:8" ht="30" customHeight="1">
      <c r="A1" s="1" t="s">
        <v>0</v>
      </c>
      <c r="B1" s="1" t="s">
        <v>69</v>
      </c>
      <c r="C1" s="1" t="s">
        <v>73</v>
      </c>
      <c r="D1" s="1" t="s">
        <v>71</v>
      </c>
      <c r="E1" s="1" t="s">
        <v>75</v>
      </c>
      <c r="G1" s="15" t="s">
        <v>116</v>
      </c>
      <c r="H1" s="16"/>
    </row>
    <row r="2" spans="1:8">
      <c r="A2" s="2" t="s">
        <v>8</v>
      </c>
      <c r="B2" s="9">
        <v>7.0000000000000007E-2</v>
      </c>
      <c r="C2" s="9">
        <v>0.08</v>
      </c>
      <c r="D2" s="9">
        <v>0.1</v>
      </c>
      <c r="E2" s="9">
        <v>0.05</v>
      </c>
      <c r="G2" s="6" t="s">
        <v>117</v>
      </c>
      <c r="H2" s="14">
        <f>INDEX(Markup!$B$2:$E$9,MATCH("P003",Markup!$A$2:$A$9,0),MATCH("East",Markup!$B$1:$E$1,0))</f>
        <v>0.04</v>
      </c>
    </row>
    <row r="3" spans="1:8">
      <c r="A3" s="2" t="s">
        <v>12</v>
      </c>
      <c r="B3" s="9">
        <v>0.05</v>
      </c>
      <c r="C3" s="9">
        <v>0.09</v>
      </c>
      <c r="D3" s="9">
        <v>7.0000000000000007E-2</v>
      </c>
      <c r="E3" s="9">
        <v>0.06</v>
      </c>
      <c r="G3" s="6" t="s">
        <v>118</v>
      </c>
      <c r="H3" s="14">
        <f>INDEX(Markup!$B$2:$E$9,MATCH("P008",Markup!$A$2:$A$9,0),MATCH("South",Markup!$B$1:$E$1,0))</f>
        <v>0.05</v>
      </c>
    </row>
    <row r="4" spans="1:8">
      <c r="A4" s="2" t="s">
        <v>15</v>
      </c>
      <c r="B4" s="9">
        <v>0.06</v>
      </c>
      <c r="C4" s="9">
        <v>0.05</v>
      </c>
      <c r="D4" s="9">
        <v>0.04</v>
      </c>
      <c r="E4" s="9">
        <v>0.08</v>
      </c>
    </row>
    <row r="5" spans="1:8">
      <c r="A5" s="2" t="s">
        <v>17</v>
      </c>
      <c r="B5" s="9">
        <v>0.11</v>
      </c>
      <c r="C5" s="9">
        <v>0.09</v>
      </c>
      <c r="D5" s="9">
        <v>0.08</v>
      </c>
      <c r="E5" s="9">
        <v>0.05</v>
      </c>
    </row>
    <row r="6" spans="1:8">
      <c r="A6" s="2" t="s">
        <v>20</v>
      </c>
      <c r="B6" s="9">
        <v>0.06</v>
      </c>
      <c r="C6" s="9">
        <v>0.03</v>
      </c>
      <c r="D6" s="9">
        <v>0.09</v>
      </c>
      <c r="E6" s="9">
        <v>0.05</v>
      </c>
    </row>
    <row r="7" spans="1:8">
      <c r="A7" s="2" t="s">
        <v>22</v>
      </c>
      <c r="B7" s="9">
        <v>0.05</v>
      </c>
      <c r="C7" s="9">
        <v>0.12</v>
      </c>
      <c r="D7" s="9">
        <v>0.05</v>
      </c>
      <c r="E7" s="9">
        <v>0.12</v>
      </c>
    </row>
    <row r="8" spans="1:8">
      <c r="A8" s="2" t="s">
        <v>24</v>
      </c>
      <c r="B8" s="9">
        <v>0.08</v>
      </c>
      <c r="C8" s="9">
        <v>0.1</v>
      </c>
      <c r="D8" s="9">
        <v>0.08</v>
      </c>
      <c r="E8" s="9">
        <v>0.04</v>
      </c>
    </row>
    <row r="9" spans="1:8">
      <c r="A9" s="2" t="s">
        <v>27</v>
      </c>
      <c r="B9" s="9">
        <v>0.09</v>
      </c>
      <c r="C9" s="9">
        <v>0.05</v>
      </c>
      <c r="D9" s="9">
        <v>0.06</v>
      </c>
      <c r="E9" s="9">
        <v>0.03</v>
      </c>
    </row>
  </sheetData>
  <mergeCells count="1">
    <mergeCell ref="G1:H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Inventory</vt:lpstr>
      <vt:lpstr>Sales</vt:lpstr>
      <vt:lpstr>QuarterlyTargets</vt:lpstr>
      <vt:lpstr>Markup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MISHRA - 70522500010</cp:lastModifiedBy>
  <dcterms:modified xsi:type="dcterms:W3CDTF">2026-09-04T13:45:28Z</dcterms:modified>
</cp:coreProperties>
</file>