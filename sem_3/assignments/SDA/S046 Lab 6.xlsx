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832dc6b46a49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9be183be7f3f4957"/>
    <x:sheet xmlns:r="http://schemas.openxmlformats.org/officeDocument/2006/relationships" name="Sales" sheetId="2" r:id="R542858c957114366"/>
    <x:sheet xmlns:r="http://schemas.openxmlformats.org/officeDocument/2006/relationships" name="QuarterlyTargets" sheetId="3" r:id="Rfee63b08c73a4957"/>
    <x:sheet xmlns:r="http://schemas.openxmlformats.org/officeDocument/2006/relationships" name="Markup" sheetId="4" r:id="Rc2e50458d0da40e6"/>
    <x:sheet xmlns:r="http://schemas.openxmlformats.org/officeDocument/2006/relationships" name="Lookup Reference Guide" sheetId="5" r:id="R915d44d33be646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"/>
    <x:numFmt numFmtId="202" formatCode="0%"/>
    <x:numFmt numFmtId="203" formatCode="dd-mm-yyyy"/>
    <x:numFmt numFmtId="204" formatCode="#,##0.00"/>
  </x:numFmts>
  <x:fonts count="11">
    <x:font>
      <x:sz val="11"/>
      <x:name val="Carlito"/>
    </x:font>
    <x:font>
      <x:b/>
      <x:sz val="10"/>
      <x:color rgb="FFFFFFFF"/>
      <x:name val="Arial"/>
    </x:font>
    <x:font>
      <x:sz val="10"/>
      <x:color rgb="FF1F1F1F"/>
      <x:name val="Arial"/>
    </x:font>
    <x:font>
      <x:b/>
      <x:sz val="10"/>
      <x:color rgb="FF1F1F1F"/>
      <x:name val="Arial"/>
    </x:font>
    <x:font>
      <x:b/>
      <x:sz val="10"/>
      <x:name val="Arial"/>
    </x:font>
    <x:font>
      <x:b/>
      <x:sz val="11"/>
      <x:color rgb="FF375623"/>
      <x:name val="Arial"/>
    </x:font>
    <x:font>
      <x:b/>
      <x:sz val="14"/>
      <x:color rgb="FFFFFFFF"/>
      <x:name val="Arial"/>
    </x:font>
    <x:font>
      <x:sz val="10"/>
      <x:name val="Arial"/>
    </x:font>
    <x:font>
      <x:b/>
      <x:sz val="10"/>
      <x:color rgb="FF7F6000"/>
      <x:name val="Arial"/>
    </x:font>
    <x:font>
      <x:i/>
      <x:sz val="10"/>
      <x:color rgb="FF404040"/>
      <x:name val="Arial"/>
    </x:font>
    <x:font>
      <x:b/>
      <x:sz val="10"/>
      <x:color rgb="FF375623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14">
    <x:border/>
    <x:border>
      <x:left style="thin">
        <x:color rgb="FF9EADBA"/>
      </x:left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medium">
        <x:color rgb="FF5B9BD5"/>
      </x:left>
      <x:top style="medium">
        <x:color rgb="FF5B9BD5"/>
      </x:top>
      <x:bottom style="medium">
        <x:color rgb="FF5B9BD5"/>
      </x:bottom>
    </x:border>
    <x:border>
      <x:right style="medium">
        <x:color rgb="FF5B9BD5"/>
      </x:right>
      <x:top style="medium">
        <x:color rgb="FF5B9BD5"/>
      </x:top>
      <x:bottom style="medium">
        <x:color rgb="FF5B9BD5"/>
      </x:bottom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top style="medium">
        <x:color rgb="FF5B9BD5"/>
      </x:top>
      <x:bottom style="medium">
        <x:color rgb="FF5B9BD5"/>
      </x:bottom>
    </x:border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</x:borders>
  <x:cellStyleXfs count="1">
    <x:xf numFmtId="0" fontId="0" fillId="0" borderId="0"/>
  </x:cellStyleXfs>
  <x:cellXfs count="7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0" fontId="4" fillId="0" borderId="4" xfId="0" applyNumberFormat="1" applyFont="1" applyFill="1" applyBorder="1"/>
    <x:xf numFmtId="0" fontId="0" fillId="4" borderId="4" xfId="0" applyNumberFormat="1" applyFont="1" applyFill="1" applyBorder="1"/>
    <x:xf numFmtId="0" fontId="5" fillId="4" borderId="4" xfId="0" applyNumberFormat="1" applyFont="1" applyFill="1" applyBorder="1"/>
    <x:xf numFmtId="201" fontId="5" fillId="4" borderId="4" xfId="0" applyNumberFormat="1" applyFont="1" applyFill="1" applyBorder="1"/>
    <x:xf numFmtId="201" fontId="5" fillId="4" borderId="4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3" fillId="3" borderId="5" xfId="0" applyNumberFormat="1" applyFont="1" applyFill="1" applyBorder="1"/>
    <x:xf numFmtId="0" fontId="3" fillId="3" borderId="5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2" fontId="0" fillId="0" borderId="4" xfId="0" applyNumberFormat="1" applyFont="1" applyFill="1" applyBorder="1"/>
    <x:xf numFmtId="200" fontId="7" fillId="0" borderId="4" xfId="0" applyNumberFormat="1" applyFont="1" applyFill="1" applyBorder="1"/>
    <x:xf numFmtId="202" fontId="7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202" fontId="0" fillId="5" borderId="4" xfId="0" applyNumberFormat="1" applyFont="1" applyFill="1" applyBorder="1"/>
    <x:xf numFmtId="202" fontId="8" fillId="5" borderId="4" xfId="0" applyNumberFormat="1" applyFont="1" applyFill="1" applyBorder="1"/>
    <x:xf numFmtId="202" fontId="8" fillId="5" borderId="4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6" xfId="0" applyNumberFormat="1" applyFont="1" applyFill="1" applyBorder="1"/>
    <x:xf numFmtId="0" fontId="9" fillId="6" borderId="7" xfId="0" applyNumberFormat="1" applyFont="1" applyFill="1" applyBorder="1"/>
    <x:xf numFmtId="0" fontId="9" fillId="6" borderId="8" xfId="0" applyNumberFormat="1" applyFont="1" applyFill="1" applyBorder="1"/>
    <x:xf numFmtId="0" fontId="9" fillId="6" borderId="9" xfId="0" applyNumberFormat="1" applyFont="1" applyFill="1" applyBorder="1"/>
    <x:xf numFmtId="0" fontId="9" fillId="6" borderId="10" xfId="0" applyNumberFormat="1" applyFont="1" applyFill="1" applyBorder="1"/>
    <x:xf numFmtId="0" fontId="9" fillId="6" borderId="11" xfId="0" applyNumberFormat="1" applyFont="1" applyFill="1" applyBorder="1"/>
    <x:xf numFmtId="0" fontId="9" fillId="6" borderId="12" xfId="0" applyNumberFormat="1" applyFont="1" applyFill="1" applyBorder="1"/>
    <x:xf numFmtId="0" fontId="9" fillId="6" borderId="13" xfId="0" applyNumberFormat="1" applyFont="1" applyFill="1" applyBorder="1"/>
    <x:xf numFmtId="0" fontId="9" fillId="6" borderId="6" xfId="0" applyNumberFormat="1" applyFont="1" applyFill="1" applyBorder="1" applyAlignment="1">
      <x:alignment wrapText="1"/>
    </x:xf>
    <x:xf numFmtId="0" fontId="9" fillId="6" borderId="7" xfId="0" applyNumberFormat="1" applyFont="1" applyFill="1" applyBorder="1" applyAlignment="1">
      <x:alignment wrapText="1"/>
    </x:xf>
    <x:xf numFmtId="0" fontId="9" fillId="6" borderId="8" xfId="0" applyNumberFormat="1" applyFont="1" applyFill="1" applyBorder="1" applyAlignment="1">
      <x:alignment wrapText="1"/>
    </x:xf>
    <x:xf numFmtId="0" fontId="9" fillId="6" borderId="9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  <x:xf numFmtId="0" fontId="9" fillId="6" borderId="10" xfId="0" applyNumberFormat="1" applyFont="1" applyFill="1" applyBorder="1" applyAlignment="1">
      <x:alignment wrapText="1"/>
    </x:xf>
    <x:xf numFmtId="0" fontId="9" fillId="6" borderId="11" xfId="0" applyNumberFormat="1" applyFont="1" applyFill="1" applyBorder="1" applyAlignment="1">
      <x:alignment wrapText="1"/>
    </x:xf>
    <x:xf numFmtId="0" fontId="9" fillId="6" borderId="12" xfId="0" applyNumberFormat="1" applyFont="1" applyFill="1" applyBorder="1" applyAlignment="1">
      <x:alignment wrapText="1"/>
    </x:xf>
    <x:xf numFmtId="0" fontId="9" fillId="6" borderId="13" xfId="0" applyNumberFormat="1" applyFont="1" applyFill="1" applyBorder="1" applyAlignment="1">
      <x:alignment wrapText="1"/>
    </x:xf>
    <x:xf numFmtId="0" fontId="9" fillId="6" borderId="6" xfId="0" applyNumberFormat="1" applyFont="1" applyFill="1" applyBorder="1" applyAlignment="1">
      <x:alignment vertical="center" wrapText="1"/>
    </x:xf>
    <x:xf numFmtId="0" fontId="9" fillId="6" borderId="7" xfId="0" applyNumberFormat="1" applyFont="1" applyFill="1" applyBorder="1" applyAlignment="1">
      <x:alignment vertical="center" wrapText="1"/>
    </x:xf>
    <x:xf numFmtId="0" fontId="9" fillId="6" borderId="8" xfId="0" applyNumberFormat="1" applyFont="1" applyFill="1" applyBorder="1" applyAlignment="1">
      <x:alignment vertical="center" wrapText="1"/>
    </x:xf>
    <x:xf numFmtId="0" fontId="9" fillId="6" borderId="9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vertical="center" wrapText="1"/>
    </x:xf>
    <x:xf numFmtId="0" fontId="9" fillId="6" borderId="10" xfId="0" applyNumberFormat="1" applyFont="1" applyFill="1" applyBorder="1" applyAlignment="1">
      <x:alignment vertical="center" wrapText="1"/>
    </x:xf>
    <x:xf numFmtId="0" fontId="9" fillId="6" borderId="11" xfId="0" applyNumberFormat="1" applyFont="1" applyFill="1" applyBorder="1" applyAlignment="1">
      <x:alignment vertical="center" wrapText="1"/>
    </x:xf>
    <x:xf numFmtId="0" fontId="9" fillId="6" borderId="12" xfId="0" applyNumberFormat="1" applyFont="1" applyFill="1" applyBorder="1" applyAlignment="1">
      <x:alignment vertical="center" wrapText="1"/>
    </x:xf>
    <x:xf numFmtId="0" fontId="9" fillId="6" borderId="13" xfId="0" applyNumberFormat="1" applyFont="1" applyFill="1" applyBorder="1" applyAlignment="1">
      <x:alignment vertical="center" wrapText="1"/>
    </x:xf>
    <x:xf numFmtId="203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4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 vertical="center"/>
    </x:xf>
    <x:xf numFmtId="0" fontId="10" fillId="4" borderId="4" xfId="0" applyNumberFormat="1" applyFont="1" applyFill="1" applyBorder="1"/>
    <x:xf numFmtId="0" fontId="10" fillId="4" borderId="4" xfId="0" applyNumberFormat="1" applyFont="1" applyFill="1" applyBorder="1" applyAlignment="1">
      <x:alignment horizontal="center"/>
    </x:xf>
    <x:xf numFmtId="202" fontId="10" fillId="4" borderId="4" xfId="0" applyNumberFormat="1" applyFont="1" applyFill="1" applyBorder="1"/>
    <x:xf numFmtId="202" fontId="10" fillId="4" borderId="4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96259ad245435b" /><Relationship Type="http://schemas.openxmlformats.org/officeDocument/2006/relationships/theme" Target="/xl/theme/theme1.xml" Id="R0cbbc2e6becc41c2" /><Relationship Type="http://schemas.openxmlformats.org/officeDocument/2006/relationships/sharedStrings" Target="/xl/sharedStrings.xml" Id="R547b5a3ade194952" /><Relationship Type="http://schemas.openxmlformats.org/officeDocument/2006/relationships/worksheet" Target="/xl/worksheets/sheet1.xml" Id="R9be183be7f3f4957" /><Relationship Type="http://schemas.openxmlformats.org/officeDocument/2006/relationships/worksheet" Target="/xl/worksheets/sheet2.xml" Id="R542858c957114366" /><Relationship Type="http://schemas.openxmlformats.org/officeDocument/2006/relationships/worksheet" Target="/xl/worksheets/sheet3.xml" Id="Rfee63b08c73a4957" /><Relationship Type="http://schemas.openxmlformats.org/officeDocument/2006/relationships/worksheet" Target="/xl/worksheets/sheet4.xml" Id="Rc2e50458d0da40e6" /><Relationship Type="http://schemas.openxmlformats.org/officeDocument/2006/relationships/worksheet" Target="/xl/worksheets/sheet5.xml" Id="R915d44d33be64669" /></Relationships>
</file>

<file path=xl/tables/table1.xml><?xml version="1.0" encoding="utf-8"?>
<x:table xmlns:x="http://schemas.openxmlformats.org/spreadsheetml/2006/main" id="1" name="InventoryTable" displayName="InventoryTable" ref="A1:G21" headerRowCount="1" totalsRowCount="0" totalsRowShown="0">
  <x:autoFilter ref="A1:G21"/>
  <x:tableColumns count="7">
    <x:tableColumn id="1" name="Product Code"/>
    <x:tableColumn id="2" name="Product Name"/>
    <x:tableColumn id="3" name="Category"/>
    <x:tableColumn id="4" name="Unit Price"/>
    <x:tableColumn id="5" name="Stock Qty"/>
    <x:tableColumn id="6" name="Reorder Level"/>
    <x:tableColumn id="7" name="Stock Varia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alesLookupTable" displayName="SalesLookupTable" ref="A1:P31" headerRowCount="1" totalsRowCount="0" totalsRowShown="0">
  <x:autoFilter ref="A1:P31"/>
  <x:tableColumns count="16">
    <x:tableColumn id="1" name="Transaction ID"/>
    <x:tableColumn id="2" name="Date"/>
    <x:tableColumn id="3" name="Product Code"/>
    <x:tableColumn id="4" name="Qty"/>
    <x:tableColumn id="5" name="Region"/>
    <x:tableColumn id="6" name="Product Name"/>
    <x:tableColumn id="7" name="Category"/>
    <x:tableColumn id="8" name="Lookup Status"/>
    <x:tableColumn id="9" name="Product Name(Index-Match)"/>
    <x:tableColumn id="10" name="Product Name (XLookup)"/>
    <x:tableColumn id="11" name="Markup %"/>
    <x:tableColumn id="12" name="Bulk-Adjusted Markup %"/>
    <x:tableColumn id="13" name="Unit Price"/>
    <x:tableColumn id="14" name="Sales Amount"/>
    <x:tableColumn id="15" name="Commission %"/>
    <x:tableColumn id="16" name="Commission Am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arterlyTargetsTable" displayName="QuarterlyTargetsTable" ref="A1:E5" headerRowCount="1" totalsRowCount="0" totalsRowShown="0">
  <x:autoFilter ref="A1:E5"/>
  <x:tableColumns count="5">
    <x:tableColumn id="1" name="Region"/>
    <x:tableColumn id="2" name="Q1 Target"/>
    <x:tableColumn id="3" name="Q2 Target"/>
    <x:tableColumn id="4" name="Q3 Target"/>
    <x:tableColumn id="5" name="Q4 Targe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gionalMarkupTable" displayName="RegionalMarkupTable" ref="A1:E9" headerRowCount="1" totalsRowCount="0" totalsRowShown="0">
  <x:autoFilter ref="A1:E9"/>
  <x:tableColumns count="5">
    <x:tableColumn id="1" name="Product Code"/>
    <x:tableColumn id="2" name="North"/>
    <x:tableColumn id="3" name="South"/>
    <x:tableColumn id="4" name="East"/>
    <x:tableColumn id="5" name="Wes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4003872ce74b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ef8f5f94bae4d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f86573cb96049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5c4f90d727047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3" hidden="0" customWidth="1"/>
    <x:col min="3" max="3" width="18" hidden="0" customWidth="1"/>
    <x:col min="4" max="4" width="14" hidden="0" customWidth="1"/>
    <x:col min="5" max="5" width="15" hidden="0" customWidth="1"/>
    <x:col min="6" max="6" width="15" hidden="0" customWidth="1"/>
    <x:col min="7" max="7" width="15" hidden="0" customWidth="1"/>
    <x:col min="9" max="9" width="23" hidden="0" customWidth="1"/>
    <x:col min="10" max="10" width="14" hidden="0" customWidth="1"/>
  </x:cols>
  <x:sheetData>
    <x:row r="1" ht="30" customHeight="1">
      <x:c r="A1" s="6" t="str">
        <x:v>Product Code</x:v>
      </x:c>
      <x:c r="B1" s="6" t="str">
        <x:v>Product Name</x:v>
      </x:c>
      <x:c r="C1" s="6" t="str">
        <x:v>Category</x:v>
      </x:c>
      <x:c r="D1" s="6" t="str">
        <x:v>Unit Price</x:v>
      </x:c>
      <x:c r="E1" s="6" t="str">
        <x:v>Stock Qty</x:v>
      </x:c>
      <x:c r="F1" s="6" t="str">
        <x:v>Reorder Level</x:v>
      </x:c>
      <x:c r="G1" s="6" t="str">
        <x:v>Stock Variance</x:v>
      </x:c>
      <x:c r="I1" s="15" t="str">
        <x:v>Verification Summary</x:v>
      </x:c>
      <x:c r="J1" s="16"/>
    </x:row>
    <x:row r="2">
      <x:c r="A2" s="10" t="str">
        <x:v>P001</x:v>
      </x:c>
      <x:c r="B2" s="8" t="str">
        <x:v>Wireless Mouse</x:v>
      </x:c>
      <x:c r="C2" s="10" t="str">
        <x:v>Electronics</x:v>
      </x:c>
      <x:c r="D2" s="9" t="n">
        <x:v>499</x:v>
      </x:c>
      <x:c r="E2" s="9" t="n">
        <x:v>120</x:v>
      </x:c>
      <x:c r="F2" s="9" t="n">
        <x:v>30</x:v>
      </x:c>
      <x:c r="G2" s="9" t="n">
        <x:f>E2-F2</x:f>
        <x:v>90</x:v>
      </x:c>
      <x:c r="I2" s="18" t="str">
        <x:v>Low-stock products</x:v>
      </x:c>
      <x:c r="J2" s="22" t="n">
        <x:f>SUMPRODUCT(--(E2:E21&lt;F2:F21))</x:f>
        <x:v>5</x:v>
      </x:c>
    </x:row>
    <x:row r="3">
      <x:c r="A3" s="10" t="str">
        <x:v>P002</x:v>
      </x:c>
      <x:c r="B3" s="8" t="str">
        <x:v>USB Cable</x:v>
      </x:c>
      <x:c r="C3" s="10" t="str">
        <x:v>Electronics</x:v>
      </x:c>
      <x:c r="D3" s="9" t="n">
        <x:v>149</x:v>
      </x:c>
      <x:c r="E3" s="9" t="n">
        <x:v>500</x:v>
      </x:c>
      <x:c r="F3" s="9" t="n">
        <x:v>100</x:v>
      </x:c>
      <x:c r="G3" s="9" t="n">
        <x:f>E3-F3</x:f>
        <x:v>400</x:v>
      </x:c>
      <x:c r="I3" s="18" t="str">
        <x:v>High-value products</x:v>
      </x:c>
      <x:c r="J3" s="22" t="n">
        <x:f>COUNTIF(D2:D21,"&gt;1000")</x:f>
        <x:v>6</x:v>
      </x:c>
    </x:row>
    <x:row r="4">
      <x:c r="A4" s="10" t="str">
        <x:v>P003</x:v>
      </x:c>
      <x:c r="B4" s="8" t="str">
        <x:v>Bluetooth Speaker</x:v>
      </x:c>
      <x:c r="C4" s="10" t="str">
        <x:v>Electronics</x:v>
      </x:c>
      <x:c r="D4" s="9" t="n">
        <x:v>1499</x:v>
      </x:c>
      <x:c r="E4" s="9" t="n">
        <x:v>40</x:v>
      </x:c>
      <x:c r="F4" s="9" t="n">
        <x:v>25</x:v>
      </x:c>
      <x:c r="G4" s="9" t="n">
        <x:f>E4-F4</x:f>
        <x:v>15</x:v>
      </x:c>
    </x:row>
    <x:row r="5">
      <x:c r="A5" s="10" t="str">
        <x:v>P004</x:v>
      </x:c>
      <x:c r="B5" s="8" t="str">
        <x:v>Notebook Pack</x:v>
      </x:c>
      <x:c r="C5" s="10" t="str">
        <x:v>Stationery</x:v>
      </x:c>
      <x:c r="D5" s="9" t="n">
        <x:v>120</x:v>
      </x:c>
      <x:c r="E5" s="9" t="n">
        <x:v>300</x:v>
      </x:c>
      <x:c r="F5" s="9" t="n">
        <x:v>50</x:v>
      </x:c>
      <x:c r="G5" s="9" t="n">
        <x:f>E5-F5</x:f>
        <x:v>250</x:v>
      </x:c>
    </x:row>
    <x:row r="6">
      <x:c r="A6" s="10" t="str">
        <x:v>P005</x:v>
      </x:c>
      <x:c r="B6" s="8" t="str">
        <x:v>Gel Pen Set</x:v>
      </x:c>
      <x:c r="C6" s="10" t="str">
        <x:v>Stationery</x:v>
      </x:c>
      <x:c r="D6" s="9" t="n">
        <x:v>90</x:v>
      </x:c>
      <x:c r="E6" s="9" t="n">
        <x:v>8</x:v>
      </x:c>
      <x:c r="F6" s="9" t="n">
        <x:v>40</x:v>
      </x:c>
      <x:c r="G6" s="9" t="n">
        <x:f>E6-F6</x:f>
        <x:v>-32</x:v>
      </x:c>
    </x:row>
    <x:row r="7">
      <x:c r="A7" s="10" t="str">
        <x:v>P006</x:v>
      </x:c>
      <x:c r="B7" s="8" t="str">
        <x:v>Sketch Book</x:v>
      </x:c>
      <x:c r="C7" s="10" t="str">
        <x:v>Stationery</x:v>
      </x:c>
      <x:c r="D7" s="9" t="n">
        <x:v>150</x:v>
      </x:c>
      <x:c r="E7" s="9" t="n">
        <x:v>60</x:v>
      </x:c>
      <x:c r="F7" s="9" t="n">
        <x:v>20</x:v>
      </x:c>
      <x:c r="G7" s="9" t="n">
        <x:f>E7-F7</x:f>
        <x:v>40</x:v>
      </x:c>
    </x:row>
    <x:row r="8">
      <x:c r="A8" s="10" t="str">
        <x:v>P007</x:v>
      </x:c>
      <x:c r="B8" s="8" t="str">
        <x:v>Face Wash</x:v>
      </x:c>
      <x:c r="C8" s="10" t="str">
        <x:v>Beauty</x:v>
      </x:c>
      <x:c r="D8" s="9" t="n">
        <x:v>199</x:v>
      </x:c>
      <x:c r="E8" s="9" t="n">
        <x:v>85</x:v>
      </x:c>
      <x:c r="F8" s="9" t="n">
        <x:v>30</x:v>
      </x:c>
      <x:c r="G8" s="9" t="n">
        <x:f>E8-F8</x:f>
        <x:v>55</x:v>
      </x:c>
    </x:row>
    <x:row r="9">
      <x:c r="A9" s="10" t="str">
        <x:v>P008</x:v>
      </x:c>
      <x:c r="B9" s="8" t="str">
        <x:v>Moisturizer</x:v>
      </x:c>
      <x:c r="C9" s="10" t="str">
        <x:v>Beauty</x:v>
      </x:c>
      <x:c r="D9" s="9" t="n">
        <x:v>349</x:v>
      </x:c>
      <x:c r="E9" s="9" t="n">
        <x:v>15</x:v>
      </x:c>
      <x:c r="F9" s="9" t="n">
        <x:v>25</x:v>
      </x:c>
      <x:c r="G9" s="9" t="n">
        <x:f>E9-F9</x:f>
        <x:v>-10</x:v>
      </x:c>
    </x:row>
    <x:row r="10">
      <x:c r="A10" s="10" t="str">
        <x:v>P009</x:v>
      </x:c>
      <x:c r="B10" s="8" t="str">
        <x:v>Lipstick</x:v>
      </x:c>
      <x:c r="C10" s="10" t="str">
        <x:v>Beauty</x:v>
      </x:c>
      <x:c r="D10" s="9" t="n">
        <x:v>299</x:v>
      </x:c>
      <x:c r="E10" s="9" t="n">
        <x:v>55</x:v>
      </x:c>
      <x:c r="F10" s="9" t="n">
        <x:v>20</x:v>
      </x:c>
      <x:c r="G10" s="9" t="n">
        <x:f>E10-F10</x:f>
        <x:v>35</x:v>
      </x:c>
    </x:row>
    <x:row r="11">
      <x:c r="A11" s="10" t="str">
        <x:v>P010</x:v>
      </x:c>
      <x:c r="B11" s="8" t="str">
        <x:v>Cotton T-Shirt</x:v>
      </x:c>
      <x:c r="C11" s="10" t="str">
        <x:v>Apparel</x:v>
      </x:c>
      <x:c r="D11" s="9" t="n">
        <x:v>599</x:v>
      </x:c>
      <x:c r="E11" s="9" t="n">
        <x:v>200</x:v>
      </x:c>
      <x:c r="F11" s="9" t="n">
        <x:v>40</x:v>
      </x:c>
      <x:c r="G11" s="9" t="n">
        <x:f>E11-F11</x:f>
        <x:v>160</x:v>
      </x:c>
    </x:row>
    <x:row r="12">
      <x:c r="A12" s="10" t="str">
        <x:v>P011</x:v>
      </x:c>
      <x:c r="B12" s="8" t="str">
        <x:v>Denim Jeans</x:v>
      </x:c>
      <x:c r="C12" s="10" t="str">
        <x:v>Apparel</x:v>
      </x:c>
      <x:c r="D12" s="9" t="n">
        <x:v>1299</x:v>
      </x:c>
      <x:c r="E12" s="9" t="n">
        <x:v>12</x:v>
      </x:c>
      <x:c r="F12" s="9" t="n">
        <x:v>20</x:v>
      </x:c>
      <x:c r="G12" s="9" t="n">
        <x:f>E12-F12</x:f>
        <x:v>-8</x:v>
      </x:c>
    </x:row>
    <x:row r="13">
      <x:c r="A13" s="10" t="str">
        <x:v>P012</x:v>
      </x:c>
      <x:c r="B13" s="8" t="str">
        <x:v>Running Shoes</x:v>
      </x:c>
      <x:c r="C13" s="10" t="str">
        <x:v>Sports</x:v>
      </x:c>
      <x:c r="D13" s="9" t="n">
        <x:v>1999</x:v>
      </x:c>
      <x:c r="E13" s="9" t="n">
        <x:v>30</x:v>
      </x:c>
      <x:c r="F13" s="9" t="n">
        <x:v>15</x:v>
      </x:c>
      <x:c r="G13" s="9" t="n">
        <x:f>E13-F13</x:f>
        <x:v>15</x:v>
      </x:c>
    </x:row>
    <x:row r="14">
      <x:c r="A14" s="10" t="str">
        <x:v>P013</x:v>
      </x:c>
      <x:c r="B14" s="8" t="str">
        <x:v>Cricket Bat</x:v>
      </x:c>
      <x:c r="C14" s="10" t="str">
        <x:v>Sports</x:v>
      </x:c>
      <x:c r="D14" s="9" t="n">
        <x:v>1499</x:v>
      </x:c>
      <x:c r="E14" s="9" t="n">
        <x:v>18</x:v>
      </x:c>
      <x:c r="F14" s="9" t="n">
        <x:v>10</x:v>
      </x:c>
      <x:c r="G14" s="9" t="n">
        <x:f>E14-F14</x:f>
        <x:v>8</x:v>
      </x:c>
    </x:row>
    <x:row r="15">
      <x:c r="A15" s="10" t="str">
        <x:v>P014</x:v>
      </x:c>
      <x:c r="B15" s="8" t="str">
        <x:v>Yoga Mat</x:v>
      </x:c>
      <x:c r="C15" s="10" t="str">
        <x:v>Sports</x:v>
      </x:c>
      <x:c r="D15" s="9" t="n">
        <x:v>699</x:v>
      </x:c>
      <x:c r="E15" s="9" t="n">
        <x:v>5</x:v>
      </x:c>
      <x:c r="F15" s="9" t="n">
        <x:v>20</x:v>
      </x:c>
      <x:c r="G15" s="9" t="n">
        <x:f>E15-F15</x:f>
        <x:v>-15</x:v>
      </x:c>
    </x:row>
    <x:row r="16">
      <x:c r="A16" s="10" t="str">
        <x:v>P015</x:v>
      </x:c>
      <x:c r="B16" s="8" t="str">
        <x:v>Desk Lamp</x:v>
      </x:c>
      <x:c r="C16" s="10" t="str">
        <x:v>Home &amp; Kitchen</x:v>
      </x:c>
      <x:c r="D16" s="9" t="n">
        <x:v>899</x:v>
      </x:c>
      <x:c r="E16" s="9" t="n">
        <x:v>45</x:v>
      </x:c>
      <x:c r="F16" s="9" t="n">
        <x:v>15</x:v>
      </x:c>
      <x:c r="G16" s="9" t="n">
        <x:f>E16-F16</x:f>
        <x:v>30</x:v>
      </x:c>
    </x:row>
    <x:row r="17">
      <x:c r="A17" s="10" t="str">
        <x:v>P016</x:v>
      </x:c>
      <x:c r="B17" s="8" t="str">
        <x:v>Non-Stick Pan</x:v>
      </x:c>
      <x:c r="C17" s="10" t="str">
        <x:v>Home &amp; Kitchen</x:v>
      </x:c>
      <x:c r="D17" s="9" t="n">
        <x:v>1199</x:v>
      </x:c>
      <x:c r="E17" s="9" t="n">
        <x:v>22</x:v>
      </x:c>
      <x:c r="F17" s="9" t="n">
        <x:v>15</x:v>
      </x:c>
      <x:c r="G17" s="9" t="n">
        <x:f>E17-F17</x:f>
        <x:v>7</x:v>
      </x:c>
    </x:row>
    <x:row r="18">
      <x:c r="A18" s="10" t="str">
        <x:v>P017</x:v>
      </x:c>
      <x:c r="B18" s="8" t="str">
        <x:v>Bluetooth Earbuds</x:v>
      </x:c>
      <x:c r="C18" s="10" t="str">
        <x:v>Electronics</x:v>
      </x:c>
      <x:c r="D18" s="9" t="n">
        <x:v>1799</x:v>
      </x:c>
      <x:c r="E18" s="9" t="n">
        <x:v>60</x:v>
      </x:c>
      <x:c r="F18" s="9" t="n">
        <x:v>20</x:v>
      </x:c>
      <x:c r="G18" s="9" t="n">
        <x:f>E18-F18</x:f>
        <x:v>40</x:v>
      </x:c>
    </x:row>
    <x:row r="19">
      <x:c r="A19" s="10" t="str">
        <x:v>P018</x:v>
      </x:c>
      <x:c r="B19" s="8" t="str">
        <x:v>Water Bottle</x:v>
      </x:c>
      <x:c r="C19" s="10" t="str">
        <x:v>Sports</x:v>
      </x:c>
      <x:c r="D19" s="9" t="n">
        <x:v>349</x:v>
      </x:c>
      <x:c r="E19" s="9" t="n">
        <x:v>90</x:v>
      </x:c>
      <x:c r="F19" s="9" t="n">
        <x:v>30</x:v>
      </x:c>
      <x:c r="G19" s="9" t="n">
        <x:f>E19-F19</x:f>
        <x:v>60</x:v>
      </x:c>
    </x:row>
    <x:row r="20">
      <x:c r="A20" s="10" t="str">
        <x:v>P019</x:v>
      </x:c>
      <x:c r="B20" s="8" t="str">
        <x:v>Table Lamp</x:v>
      </x:c>
      <x:c r="C20" s="10" t="str">
        <x:v>Home &amp; Kitchen</x:v>
      </x:c>
      <x:c r="D20" s="9" t="n">
        <x:v>749</x:v>
      </x:c>
      <x:c r="E20" s="9" t="n">
        <x:v>8</x:v>
      </x:c>
      <x:c r="F20" s="9" t="n">
        <x:v>15</x:v>
      </x:c>
      <x:c r="G20" s="9" t="n">
        <x:f>E20-F20</x:f>
        <x:v>-7</x:v>
      </x:c>
    </x:row>
    <x:row r="21">
      <x:c r="A21" s="10" t="str">
        <x:v>P020</x:v>
      </x:c>
      <x:c r="B21" s="8" t="str">
        <x:v>Hair Dryer</x:v>
      </x:c>
      <x:c r="C21" s="10" t="str">
        <x:v>Beauty</x:v>
      </x:c>
      <x:c r="D21" s="9" t="n">
        <x:v>899</x:v>
      </x:c>
      <x:c r="E21" s="9" t="n">
        <x:v>25</x:v>
      </x:c>
      <x:c r="F21" s="9" t="n">
        <x:v>15</x:v>
      </x:c>
      <x:c r="G21" s="9" t="n">
        <x:f>E21-F21</x:f>
        <x:v>10</x:v>
      </x:c>
    </x:row>
  </x:sheetData>
  <x:mergeCells>
    <x:mergeCell ref="I1:J1"/>
  </x:mergeCells>
  <x:conditionalFormatting sqref="D2:D21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E2:E21">
    <x:cfRule type="dataBar" priority="2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{75187EE9-2A16-5A5E-76BC-21EEE32E1F4E}</x14:id>
        </x:ext>
      </x:extLst>
    </x:cfRule>
    <x:cfRule type="expression" dxfId="0" priority="4">
      <x:formula>E2&lt;F2</x:formula>
    </x:cfRule>
  </x:conditionalFormatting>
  <x:conditionalFormatting sqref="G2:G21">
    <x:cfRule type="iconSet" priority="3">
      <x:iconSet iconSet="3TrafficLights1" showValue="1">
        <x:cfvo type="num" val="-9999"/>
        <x:cfvo type="num" val="0"/>
        <x:cfvo type="num" val="30"/>
      </x:iconSet>
    </x:cfRule>
  </x:conditionalFormatting>
  <x:pageMargins left="0.7" right="0.7" top="0.75" bottom="0.75" header="0.3" footer="0.3"/>
  <x:tableParts count="1">
    <x:tablePart xmlns:r="http://schemas.openxmlformats.org/officeDocument/2006/relationships" r:id="Rd44003872ce74b3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75187EE9-2A16-5A5E-76BC-21EEE32E1F4E}">
            <x14:dataBar gradient="1">
              <x14:cfvo type="min"/>
              <x14:cfvo type="max"/>
              <x14:fillColor rgb="FF5B9BD5"/>
            </x14:dataBar>
          </x14:cfRule>
          <xm:sqref>E2:E21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4" hidden="0" customWidth="1"/>
    <x:col min="4" max="4" width="9" hidden="0" customWidth="1"/>
    <x:col min="5" max="5" width="11" hidden="0" customWidth="1"/>
    <x:col min="6" max="6" width="19" hidden="0" customWidth="1"/>
    <x:col min="7" max="7" width="19" hidden="0" customWidth="1"/>
    <x:col min="8" max="8" width="15" hidden="0" customWidth="1"/>
    <x:col min="9" max="9" width="25" hidden="0" customWidth="1"/>
    <x:col min="10" max="10" width="25" hidden="0" customWidth="1"/>
    <x:col min="11" max="11" width="14" hidden="0" customWidth="1"/>
    <x:col min="12" max="12" width="22" hidden="0" customWidth="1"/>
    <x:col min="13" max="13" width="15" hidden="0" customWidth="1"/>
    <x:col min="14" max="14" width="15" hidden="0" customWidth="1"/>
    <x:col min="15" max="15" width="14" hidden="0" customWidth="1"/>
    <x:col min="16" max="16" width="19" hidden="0" customWidth="1"/>
  </x:cols>
  <x:sheetData>
    <x:row r="1" ht="30" customHeight="1">
      <x:c r="A1" s="6" t="str">
        <x:v>Transaction ID</x:v>
      </x:c>
      <x:c r="B1" s="6" t="str">
        <x:v>Date</x:v>
      </x:c>
      <x:c r="C1" s="6" t="str">
        <x:v>Product Code</x:v>
      </x:c>
      <x:c r="D1" s="6" t="str">
        <x:v>Qty</x:v>
      </x:c>
      <x:c r="E1" s="6" t="str">
        <x:v>Region</x:v>
      </x:c>
      <x:c r="F1" s="6" t="str">
        <x:v>Product Name</x:v>
      </x:c>
      <x:c r="G1" s="6" t="str">
        <x:v>Category</x:v>
      </x:c>
      <x:c r="H1" s="6" t="str">
        <x:v>Lookup Status</x:v>
      </x:c>
      <x:c r="I1" s="6" t="str">
        <x:v>Product Name(Index-Match)</x:v>
      </x:c>
      <x:c r="J1" s="6" t="str">
        <x:v>Product Name (XLookup)</x:v>
      </x:c>
      <x:c r="K1" s="6" t="str">
        <x:v>Markup %</x:v>
      </x:c>
      <x:c r="L1" s="6" t="str">
        <x:v>Bulk-Adjusted Markup %</x:v>
      </x:c>
      <x:c r="M1" s="6" t="str">
        <x:v>Unit Price</x:v>
      </x:c>
      <x:c r="N1" s="6" t="str">
        <x:v>Sales Amount</x:v>
      </x:c>
      <x:c r="O1" s="6" t="str">
        <x:v>Commission %</x:v>
      </x:c>
      <x:c r="P1" s="6" t="str">
        <x:v>Commission Amount</x:v>
      </x:c>
    </x:row>
    <x:row r="2">
      <x:c r="A2" s="10" t="str">
        <x:v>TXN014</x:v>
      </x:c>
      <x:c r="B2" s="72" t="n">
        <x:v>46175</x:v>
      </x:c>
      <x:c r="C2" s="10" t="str">
        <x:v>P018</x:v>
      </x:c>
      <x:c r="D2" s="73" t="n">
        <x:v>2</x:v>
      </x:c>
      <x:c r="E2" s="10" t="str">
        <x:v>North</x:v>
      </x:c>
      <x:c r="F2" s="8" t="str">
        <x:f>IFERROR(VLOOKUP(C2,'Inventory'!$A$2:$F$21,2,FALSE),"Product Not Found")</x:f>
        <x:v>Water Bottle</x:v>
      </x:c>
      <x:c r="G2" s="8" t="str">
        <x:f>IFERROR(VLOOKUP(C2,'Inventory'!$A$2:$F$21,3,FALSE),"Product Not Found")</x:f>
        <x:v>Sports</x:v>
      </x:c>
      <x:c r="H2" s="10" t="str">
        <x:f>IF(ISNA(VLOOKUP(C2,'Inventory'!$A$2:$F$21,2,FALSE)),"Review","OK")</x:f>
        <x:v>OK</x:v>
      </x:c>
      <x:c r="I2" s="8" t="str">
        <x:f>IFERROR(INDEX('Inventory'!$B$2:$B$21,MATCH(C2,'Inventory'!$A$2:$A$21,0)),"Product Not Found")</x:f>
        <x:v>Water Bottle</x:v>
      </x:c>
      <x:c r="J2" s="8" t="str">
        <x:f>XLOOKUP(C2,'Inventory'!$A$2:$A$21,'Inventory'!$B$2:$B$21,"Product Not Found")</x:f>
        <x:v>Water Bottle</x:v>
      </x:c>
      <x:c r="K2" s="70" t="str">
        <x:f>IFERROR(INDEX('Markup'!$B$2:$E$9,MATCH(C2,'Markup'!$A$2:$A$9,0),MATCH(E2,'Markup'!$B$1:$E$1,0)),"No Markup Data")</x:f>
        <x:v>No Markup Data</x:v>
      </x:c>
      <x:c r="L2" s="70" t="str">
        <x:f>IFERROR(IF(D2&gt;5,INDEX('Markup'!$B$2:$E$9,MATCH(C2,'Markup'!$A$2:$A$9,0),MATCH(E2,'Markup'!$B$1:$E$1,0))-'Lookup Reference Guide'!$I$11,INDEX('Markup'!$B$2:$E$9,MATCH(C2,'Markup'!$A$2:$A$9,0),MATCH(E2,'Markup'!$B$1:$E$1,0))),"No Markup Data")</x:f>
        <x:v>No Markup Data</x:v>
      </x:c>
      <x:c r="M2" s="9" t="n">
        <x:f>XLOOKUP(C2,'Inventory'!$A$2:$A$21,'Inventory'!$D$2:$D$21,0)</x:f>
        <x:v>349</x:v>
      </x:c>
      <x:c r="N2" s="9" t="n">
        <x:f>D2*M2</x:f>
        <x:v>698</x:v>
      </x:c>
      <x:c r="O2" s="70" t="n">
        <x:f>VLOOKUP(N2,'Lookup Reference Guide'!$H$4:$I$8,2,TRUE)</x:f>
        <x:v>0</x:v>
      </x:c>
      <x:c r="P2" s="71" t="n">
        <x:f>ROUND(N2*O2,2)</x:f>
        <x:v>0</x:v>
      </x:c>
    </x:row>
    <x:row r="3">
      <x:c r="A3" s="10" t="str">
        <x:v>TXN027</x:v>
      </x:c>
      <x:c r="B3" s="72" t="n">
        <x:v>46220</x:v>
      </x:c>
      <x:c r="C3" s="10" t="str">
        <x:v>P009</x:v>
      </x:c>
      <x:c r="D3" s="73" t="n">
        <x:v>8</x:v>
      </x:c>
      <x:c r="E3" s="10" t="str">
        <x:v>East</x:v>
      </x:c>
      <x:c r="F3" s="8" t="str">
        <x:f>IFERROR(VLOOKUP(C3,'Inventory'!$A$2:$F$21,2,FALSE),"Product Not Found")</x:f>
        <x:v>Lipstick</x:v>
      </x:c>
      <x:c r="G3" s="8" t="str">
        <x:f>IFERROR(VLOOKUP(C3,'Inventory'!$A$2:$F$21,3,FALSE),"Product Not Found")</x:f>
        <x:v>Beauty</x:v>
      </x:c>
      <x:c r="H3" s="10" t="str">
        <x:f>IF(ISNA(VLOOKUP(C3,'Inventory'!$A$2:$F$21,2,FALSE)),"Review","OK")</x:f>
        <x:v>OK</x:v>
      </x:c>
      <x:c r="I3" s="8" t="str">
        <x:f>IFERROR(INDEX('Inventory'!$B$2:$B$21,MATCH(C3,'Inventory'!$A$2:$A$21,0)),"Product Not Found")</x:f>
        <x:v>Lipstick</x:v>
      </x:c>
      <x:c r="J3" s="8" t="str">
        <x:f>XLOOKUP(C3,'Inventory'!$A$2:$A$21,'Inventory'!$B$2:$B$21,"Product Not Found")</x:f>
        <x:v>Lipstick</x:v>
      </x:c>
      <x:c r="K3" s="70" t="str">
        <x:f>IFERROR(INDEX('Markup'!$B$2:$E$9,MATCH(C3,'Markup'!$A$2:$A$9,0),MATCH(E3,'Markup'!$B$1:$E$1,0)),"No Markup Data")</x:f>
        <x:v>No Markup Data</x:v>
      </x:c>
      <x:c r="L3" s="70" t="str">
        <x:f>IFERROR(IF(D3&gt;5,INDEX('Markup'!$B$2:$E$9,MATCH(C3,'Markup'!$A$2:$A$9,0),MATCH(E3,'Markup'!$B$1:$E$1,0))-'Lookup Reference Guide'!$I$11,INDEX('Markup'!$B$2:$E$9,MATCH(C3,'Markup'!$A$2:$A$9,0),MATCH(E3,'Markup'!$B$1:$E$1,0))),"No Markup Data")</x:f>
        <x:v>No Markup Data</x:v>
      </x:c>
      <x:c r="M3" s="9" t="n">
        <x:f>XLOOKUP(C3,'Inventory'!$A$2:$A$21,'Inventory'!$D$2:$D$21,0)</x:f>
        <x:v>299</x:v>
      </x:c>
      <x:c r="N3" s="9" t="n">
        <x:f>D3*M3</x:f>
        <x:v>2392</x:v>
      </x:c>
      <x:c r="O3" s="70" t="n">
        <x:f>VLOOKUP(N3,'Lookup Reference Guide'!$H$4:$I$8,2,TRUE)</x:f>
        <x:v>0.02</x:v>
      </x:c>
      <x:c r="P3" s="71" t="n">
        <x:f>ROUND(N3*O3,2)</x:f>
        <x:v>47.84</x:v>
      </x:c>
    </x:row>
    <x:row r="4">
      <x:c r="A4" s="10" t="str">
        <x:v>TXN003</x:v>
      </x:c>
      <x:c r="B4" s="72" t="n">
        <x:v>46231</x:v>
      </x:c>
      <x:c r="C4" s="10" t="str">
        <x:v>P002</x:v>
      </x:c>
      <x:c r="D4" s="73" t="n">
        <x:v>2</x:v>
      </x:c>
      <x:c r="E4" s="10" t="str">
        <x:v>South</x:v>
      </x:c>
      <x:c r="F4" s="8" t="str">
        <x:f>IFERROR(VLOOKUP(C4,'Inventory'!$A$2:$F$21,2,FALSE),"Product Not Found")</x:f>
        <x:v>USB Cable</x:v>
      </x:c>
      <x:c r="G4" s="8" t="str">
        <x:f>IFERROR(VLOOKUP(C4,'Inventory'!$A$2:$F$21,3,FALSE),"Product Not Found")</x:f>
        <x:v>Electronics</x:v>
      </x:c>
      <x:c r="H4" s="10" t="str">
        <x:f>IF(ISNA(VLOOKUP(C4,'Inventory'!$A$2:$F$21,2,FALSE)),"Review","OK")</x:f>
        <x:v>OK</x:v>
      </x:c>
      <x:c r="I4" s="8" t="str">
        <x:f>IFERROR(INDEX('Inventory'!$B$2:$B$21,MATCH(C4,'Inventory'!$A$2:$A$21,0)),"Product Not Found")</x:f>
        <x:v>USB Cable</x:v>
      </x:c>
      <x:c r="J4" s="8" t="str">
        <x:f>XLOOKUP(C4,'Inventory'!$A$2:$A$21,'Inventory'!$B$2:$B$21,"Product Not Found")</x:f>
        <x:v>USB Cable</x:v>
      </x:c>
      <x:c r="K4" s="70" t="n">
        <x:f>IFERROR(INDEX('Markup'!$B$2:$E$9,MATCH(C4,'Markup'!$A$2:$A$9,0),MATCH(E4,'Markup'!$B$1:$E$1,0)),"No Markup Data")</x:f>
        <x:v>0.09</x:v>
      </x:c>
      <x:c r="L4" s="70" t="n">
        <x:f>IFERROR(IF(D4&gt;5,INDEX('Markup'!$B$2:$E$9,MATCH(C4,'Markup'!$A$2:$A$9,0),MATCH(E4,'Markup'!$B$1:$E$1,0))-'Lookup Reference Guide'!$I$11,INDEX('Markup'!$B$2:$E$9,MATCH(C4,'Markup'!$A$2:$A$9,0),MATCH(E4,'Markup'!$B$1:$E$1,0))),"No Markup Data")</x:f>
        <x:v>0.09</x:v>
      </x:c>
      <x:c r="M4" s="9" t="n">
        <x:f>XLOOKUP(C4,'Inventory'!$A$2:$A$21,'Inventory'!$D$2:$D$21,0)</x:f>
        <x:v>149</x:v>
      </x:c>
      <x:c r="N4" s="9" t="n">
        <x:f>D4*M4</x:f>
        <x:v>298</x:v>
      </x:c>
      <x:c r="O4" s="70" t="n">
        <x:f>VLOOKUP(N4,'Lookup Reference Guide'!$H$4:$I$8,2,TRUE)</x:f>
        <x:v>0</x:v>
      </x:c>
      <x:c r="P4" s="71" t="n">
        <x:f>ROUND(N4*O4,2)</x:f>
        <x:v>0</x:v>
      </x:c>
    </x:row>
    <x:row r="5">
      <x:c r="A5" s="10" t="str">
        <x:v>TXN021</x:v>
      </x:c>
      <x:c r="B5" s="72" t="n">
        <x:v>46209</x:v>
      </x:c>
      <x:c r="C5" s="10" t="str">
        <x:v>P014</x:v>
      </x:c>
      <x:c r="D5" s="73" t="n">
        <x:v>1</x:v>
      </x:c>
      <x:c r="E5" s="10" t="str">
        <x:v>West</x:v>
      </x:c>
      <x:c r="F5" s="8" t="str">
        <x:f>IFERROR(VLOOKUP(C5,'Inventory'!$A$2:$F$21,2,FALSE),"Product Not Found")</x:f>
        <x:v>Yoga Mat</x:v>
      </x:c>
      <x:c r="G5" s="8" t="str">
        <x:f>IFERROR(VLOOKUP(C5,'Inventory'!$A$2:$F$21,3,FALSE),"Product Not Found")</x:f>
        <x:v>Sports</x:v>
      </x:c>
      <x:c r="H5" s="10" t="str">
        <x:f>IF(ISNA(VLOOKUP(C5,'Inventory'!$A$2:$F$21,2,FALSE)),"Review","OK")</x:f>
        <x:v>OK</x:v>
      </x:c>
      <x:c r="I5" s="8" t="str">
        <x:f>IFERROR(INDEX('Inventory'!$B$2:$B$21,MATCH(C5,'Inventory'!$A$2:$A$21,0)),"Product Not Found")</x:f>
        <x:v>Yoga Mat</x:v>
      </x:c>
      <x:c r="J5" s="8" t="str">
        <x:f>XLOOKUP(C5,'Inventory'!$A$2:$A$21,'Inventory'!$B$2:$B$21,"Product Not Found")</x:f>
        <x:v>Yoga Mat</x:v>
      </x:c>
      <x:c r="K5" s="70" t="str">
        <x:f>IFERROR(INDEX('Markup'!$B$2:$E$9,MATCH(C5,'Markup'!$A$2:$A$9,0),MATCH(E5,'Markup'!$B$1:$E$1,0)),"No Markup Data")</x:f>
        <x:v>No Markup Data</x:v>
      </x:c>
      <x:c r="L5" s="70" t="str">
        <x:f>IFERROR(IF(D5&gt;5,INDEX('Markup'!$B$2:$E$9,MATCH(C5,'Markup'!$A$2:$A$9,0),MATCH(E5,'Markup'!$B$1:$E$1,0))-'Lookup Reference Guide'!$I$11,INDEX('Markup'!$B$2:$E$9,MATCH(C5,'Markup'!$A$2:$A$9,0),MATCH(E5,'Markup'!$B$1:$E$1,0))),"No Markup Data")</x:f>
        <x:v>No Markup Data</x:v>
      </x:c>
      <x:c r="M5" s="9" t="n">
        <x:f>XLOOKUP(C5,'Inventory'!$A$2:$A$21,'Inventory'!$D$2:$D$21,0)</x:f>
        <x:v>699</x:v>
      </x:c>
      <x:c r="N5" s="9" t="n">
        <x:f>D5*M5</x:f>
        <x:v>699</x:v>
      </x:c>
      <x:c r="O5" s="70" t="n">
        <x:f>VLOOKUP(N5,'Lookup Reference Guide'!$H$4:$I$8,2,TRUE)</x:f>
        <x:v>0</x:v>
      </x:c>
      <x:c r="P5" s="71" t="n">
        <x:f>ROUND(N5*O5,2)</x:f>
        <x:v>0</x:v>
      </x:c>
    </x:row>
    <x:row r="6">
      <x:c r="A6" s="10" t="str">
        <x:v>TXN020</x:v>
      </x:c>
      <x:c r="B6" s="72" t="n">
        <x:v>46228</x:v>
      </x:c>
      <x:c r="C6" s="10" t="str">
        <x:v>P008</x:v>
      </x:c>
      <x:c r="D6" s="73" t="n">
        <x:v>7</x:v>
      </x:c>
      <x:c r="E6" s="10" t="str">
        <x:v>North</x:v>
      </x:c>
      <x:c r="F6" s="8" t="str">
        <x:f>IFERROR(VLOOKUP(C6,'Inventory'!$A$2:$F$21,2,FALSE),"Product Not Found")</x:f>
        <x:v>Moisturizer</x:v>
      </x:c>
      <x:c r="G6" s="8" t="str">
        <x:f>IFERROR(VLOOKUP(C6,'Inventory'!$A$2:$F$21,3,FALSE),"Product Not Found")</x:f>
        <x:v>Beauty</x:v>
      </x:c>
      <x:c r="H6" s="10" t="str">
        <x:f>IF(ISNA(VLOOKUP(C6,'Inventory'!$A$2:$F$21,2,FALSE)),"Review","OK")</x:f>
        <x:v>OK</x:v>
      </x:c>
      <x:c r="I6" s="8" t="str">
        <x:f>IFERROR(INDEX('Inventory'!$B$2:$B$21,MATCH(C6,'Inventory'!$A$2:$A$21,0)),"Product Not Found")</x:f>
        <x:v>Moisturizer</x:v>
      </x:c>
      <x:c r="J6" s="8" t="str">
        <x:f>XLOOKUP(C6,'Inventory'!$A$2:$A$21,'Inventory'!$B$2:$B$21,"Product Not Found")</x:f>
        <x:v>Moisturizer</x:v>
      </x:c>
      <x:c r="K6" s="70" t="n">
        <x:f>IFERROR(INDEX('Markup'!$B$2:$E$9,MATCH(C6,'Markup'!$A$2:$A$9,0),MATCH(E6,'Markup'!$B$1:$E$1,0)),"No Markup Data")</x:f>
        <x:v>0.09</x:v>
      </x:c>
      <x:c r="L6" s="70" t="n">
        <x:f>IFERROR(IF(D6&gt;5,INDEX('Markup'!$B$2:$E$9,MATCH(C6,'Markup'!$A$2:$A$9,0),MATCH(E6,'Markup'!$B$1:$E$1,0))-'Lookup Reference Guide'!$I$11,INDEX('Markup'!$B$2:$E$9,MATCH(C6,'Markup'!$A$2:$A$9,0),MATCH(E6,'Markup'!$B$1:$E$1,0))),"No Markup Data")</x:f>
        <x:v>0.06999999999999999</x:v>
      </x:c>
      <x:c r="M6" s="9" t="n">
        <x:f>XLOOKUP(C6,'Inventory'!$A$2:$A$21,'Inventory'!$D$2:$D$21,0)</x:f>
        <x:v>349</x:v>
      </x:c>
      <x:c r="N6" s="9" t="n">
        <x:f>D6*M6</x:f>
        <x:v>2443</x:v>
      </x:c>
      <x:c r="O6" s="70" t="n">
        <x:f>VLOOKUP(N6,'Lookup Reference Guide'!$H$4:$I$8,2,TRUE)</x:f>
        <x:v>0.02</x:v>
      </x:c>
      <x:c r="P6" s="71" t="n">
        <x:f>ROUND(N6*O6,2)</x:f>
        <x:v>48.86</x:v>
      </x:c>
    </x:row>
    <x:row r="7">
      <x:c r="A7" s="10" t="str">
        <x:v>TXN022</x:v>
      </x:c>
      <x:c r="B7" s="72" t="n">
        <x:v>46175</x:v>
      </x:c>
      <x:c r="C7" s="10" t="str">
        <x:v>P014</x:v>
      </x:c>
      <x:c r="D7" s="73" t="n">
        <x:v>2</x:v>
      </x:c>
      <x:c r="E7" s="10" t="str">
        <x:v>North</x:v>
      </x:c>
      <x:c r="F7" s="8" t="str">
        <x:f>IFERROR(VLOOKUP(C7,'Inventory'!$A$2:$F$21,2,FALSE),"Product Not Found")</x:f>
        <x:v>Yoga Mat</x:v>
      </x:c>
      <x:c r="G7" s="8" t="str">
        <x:f>IFERROR(VLOOKUP(C7,'Inventory'!$A$2:$F$21,3,FALSE),"Product Not Found")</x:f>
        <x:v>Sports</x:v>
      </x:c>
      <x:c r="H7" s="10" t="str">
        <x:f>IF(ISNA(VLOOKUP(C7,'Inventory'!$A$2:$F$21,2,FALSE)),"Review","OK")</x:f>
        <x:v>OK</x:v>
      </x:c>
      <x:c r="I7" s="8" t="str">
        <x:f>IFERROR(INDEX('Inventory'!$B$2:$B$21,MATCH(C7,'Inventory'!$A$2:$A$21,0)),"Product Not Found")</x:f>
        <x:v>Yoga Mat</x:v>
      </x:c>
      <x:c r="J7" s="8" t="str">
        <x:f>XLOOKUP(C7,'Inventory'!$A$2:$A$21,'Inventory'!$B$2:$B$21,"Product Not Found")</x:f>
        <x:v>Yoga Mat</x:v>
      </x:c>
      <x:c r="K7" s="70" t="str">
        <x:f>IFERROR(INDEX('Markup'!$B$2:$E$9,MATCH(C7,'Markup'!$A$2:$A$9,0),MATCH(E7,'Markup'!$B$1:$E$1,0)),"No Markup Data")</x:f>
        <x:v>No Markup Data</x:v>
      </x:c>
      <x:c r="L7" s="70" t="str">
        <x:f>IFERROR(IF(D7&gt;5,INDEX('Markup'!$B$2:$E$9,MATCH(C7,'Markup'!$A$2:$A$9,0),MATCH(E7,'Markup'!$B$1:$E$1,0))-'Lookup Reference Guide'!$I$11,INDEX('Markup'!$B$2:$E$9,MATCH(C7,'Markup'!$A$2:$A$9,0),MATCH(E7,'Markup'!$B$1:$E$1,0))),"No Markup Data")</x:f>
        <x:v>No Markup Data</x:v>
      </x:c>
      <x:c r="M7" s="9" t="n">
        <x:f>XLOOKUP(C7,'Inventory'!$A$2:$A$21,'Inventory'!$D$2:$D$21,0)</x:f>
        <x:v>699</x:v>
      </x:c>
      <x:c r="N7" s="9" t="n">
        <x:f>D7*M7</x:f>
        <x:v>1398</x:v>
      </x:c>
      <x:c r="O7" s="70" t="n">
        <x:f>VLOOKUP(N7,'Lookup Reference Guide'!$H$4:$I$8,2,TRUE)</x:f>
        <x:v>0.02</x:v>
      </x:c>
      <x:c r="P7" s="71" t="n">
        <x:f>ROUND(N7*O7,2)</x:f>
        <x:v>27.96</x:v>
      </x:c>
    </x:row>
    <x:row r="8">
      <x:c r="A8" s="10" t="str">
        <x:v>TXN012</x:v>
      </x:c>
      <x:c r="B8" s="72" t="n">
        <x:v>46206</x:v>
      </x:c>
      <x:c r="C8" s="10" t="str">
        <x:v>P011</x:v>
      </x:c>
      <x:c r="D8" s="73" t="n">
        <x:v>8</x:v>
      </x:c>
      <x:c r="E8" s="10" t="str">
        <x:v>East</x:v>
      </x:c>
      <x:c r="F8" s="8" t="str">
        <x:f>IFERROR(VLOOKUP(C8,'Inventory'!$A$2:$F$21,2,FALSE),"Product Not Found")</x:f>
        <x:v>Denim Jeans</x:v>
      </x:c>
      <x:c r="G8" s="8" t="str">
        <x:f>IFERROR(VLOOKUP(C8,'Inventory'!$A$2:$F$21,3,FALSE),"Product Not Found")</x:f>
        <x:v>Apparel</x:v>
      </x:c>
      <x:c r="H8" s="10" t="str">
        <x:f>IF(ISNA(VLOOKUP(C8,'Inventory'!$A$2:$F$21,2,FALSE)),"Review","OK")</x:f>
        <x:v>OK</x:v>
      </x:c>
      <x:c r="I8" s="8" t="str">
        <x:f>IFERROR(INDEX('Inventory'!$B$2:$B$21,MATCH(C8,'Inventory'!$A$2:$A$21,0)),"Product Not Found")</x:f>
        <x:v>Denim Jeans</x:v>
      </x:c>
      <x:c r="J8" s="8" t="str">
        <x:f>XLOOKUP(C8,'Inventory'!$A$2:$A$21,'Inventory'!$B$2:$B$21,"Product Not Found")</x:f>
        <x:v>Denim Jeans</x:v>
      </x:c>
      <x:c r="K8" s="70" t="str">
        <x:f>IFERROR(INDEX('Markup'!$B$2:$E$9,MATCH(C8,'Markup'!$A$2:$A$9,0),MATCH(E8,'Markup'!$B$1:$E$1,0)),"No Markup Data")</x:f>
        <x:v>No Markup Data</x:v>
      </x:c>
      <x:c r="L8" s="70" t="str">
        <x:f>IFERROR(IF(D8&gt;5,INDEX('Markup'!$B$2:$E$9,MATCH(C8,'Markup'!$A$2:$A$9,0),MATCH(E8,'Markup'!$B$1:$E$1,0))-'Lookup Reference Guide'!$I$11,INDEX('Markup'!$B$2:$E$9,MATCH(C8,'Markup'!$A$2:$A$9,0),MATCH(E8,'Markup'!$B$1:$E$1,0))),"No Markup Data")</x:f>
        <x:v>No Markup Data</x:v>
      </x:c>
      <x:c r="M8" s="9" t="n">
        <x:f>XLOOKUP(C8,'Inventory'!$A$2:$A$21,'Inventory'!$D$2:$D$21,0)</x:f>
        <x:v>1299</x:v>
      </x:c>
      <x:c r="N8" s="9" t="n">
        <x:f>D8*M8</x:f>
        <x:v>10392</x:v>
      </x:c>
      <x:c r="O8" s="70" t="n">
        <x:f>VLOOKUP(N8,'Lookup Reference Guide'!$H$4:$I$8,2,TRUE)</x:f>
        <x:v>0.07</x:v>
      </x:c>
      <x:c r="P8" s="71" t="n">
        <x:f>ROUND(N8*O8,2)</x:f>
        <x:v>727.44</x:v>
      </x:c>
    </x:row>
    <x:row r="9">
      <x:c r="A9" s="10" t="str">
        <x:v>TXN010</x:v>
      </x:c>
      <x:c r="B9" s="72" t="n">
        <x:v>46234</x:v>
      </x:c>
      <x:c r="C9" s="10" t="str">
        <x:v>P008</x:v>
      </x:c>
      <x:c r="D9" s="73" t="n">
        <x:v>3</x:v>
      </x:c>
      <x:c r="E9" s="10" t="str">
        <x:v>East</x:v>
      </x:c>
      <x:c r="F9" s="8" t="str">
        <x:f>IFERROR(VLOOKUP(C9,'Inventory'!$A$2:$F$21,2,FALSE),"Product Not Found")</x:f>
        <x:v>Moisturizer</x:v>
      </x:c>
      <x:c r="G9" s="8" t="str">
        <x:f>IFERROR(VLOOKUP(C9,'Inventory'!$A$2:$F$21,3,FALSE),"Product Not Found")</x:f>
        <x:v>Beauty</x:v>
      </x:c>
      <x:c r="H9" s="10" t="str">
        <x:f>IF(ISNA(VLOOKUP(C9,'Inventory'!$A$2:$F$21,2,FALSE)),"Review","OK")</x:f>
        <x:v>OK</x:v>
      </x:c>
      <x:c r="I9" s="8" t="str">
        <x:f>IFERROR(INDEX('Inventory'!$B$2:$B$21,MATCH(C9,'Inventory'!$A$2:$A$21,0)),"Product Not Found")</x:f>
        <x:v>Moisturizer</x:v>
      </x:c>
      <x:c r="J9" s="8" t="str">
        <x:f>XLOOKUP(C9,'Inventory'!$A$2:$A$21,'Inventory'!$B$2:$B$21,"Product Not Found")</x:f>
        <x:v>Moisturizer</x:v>
      </x:c>
      <x:c r="K9" s="70" t="n">
        <x:f>IFERROR(INDEX('Markup'!$B$2:$E$9,MATCH(C9,'Markup'!$A$2:$A$9,0),MATCH(E9,'Markup'!$B$1:$E$1,0)),"No Markup Data")</x:f>
        <x:v>0.06</x:v>
      </x:c>
      <x:c r="L9" s="70" t="n">
        <x:f>IFERROR(IF(D9&gt;5,INDEX('Markup'!$B$2:$E$9,MATCH(C9,'Markup'!$A$2:$A$9,0),MATCH(E9,'Markup'!$B$1:$E$1,0))-'Lookup Reference Guide'!$I$11,INDEX('Markup'!$B$2:$E$9,MATCH(C9,'Markup'!$A$2:$A$9,0),MATCH(E9,'Markup'!$B$1:$E$1,0))),"No Markup Data")</x:f>
        <x:v>0.06</x:v>
      </x:c>
      <x:c r="M9" s="9" t="n">
        <x:f>XLOOKUP(C9,'Inventory'!$A$2:$A$21,'Inventory'!$D$2:$D$21,0)</x:f>
        <x:v>349</x:v>
      </x:c>
      <x:c r="N9" s="9" t="n">
        <x:f>D9*M9</x:f>
        <x:v>1047</x:v>
      </x:c>
      <x:c r="O9" s="70" t="n">
        <x:f>VLOOKUP(N9,'Lookup Reference Guide'!$H$4:$I$8,2,TRUE)</x:f>
        <x:v>0.02</x:v>
      </x:c>
      <x:c r="P9" s="71" t="n">
        <x:f>ROUND(N9*O9,2)</x:f>
        <x:v>20.94</x:v>
      </x:c>
    </x:row>
    <x:row r="10">
      <x:c r="A10" s="10" t="str">
        <x:v>TXN026</x:v>
      </x:c>
      <x:c r="B10" s="72" t="n">
        <x:v>46195</x:v>
      </x:c>
      <x:c r="C10" s="10" t="str">
        <x:v>P008</x:v>
      </x:c>
      <x:c r="D10" s="73" t="n">
        <x:v>1</x:v>
      </x:c>
      <x:c r="E10" s="10" t="str">
        <x:v>East</x:v>
      </x:c>
      <x:c r="F10" s="8" t="str">
        <x:f>IFERROR(VLOOKUP(C10,'Inventory'!$A$2:$F$21,2,FALSE),"Product Not Found")</x:f>
        <x:v>Moisturizer</x:v>
      </x:c>
      <x:c r="G10" s="8" t="str">
        <x:f>IFERROR(VLOOKUP(C10,'Inventory'!$A$2:$F$21,3,FALSE),"Product Not Found")</x:f>
        <x:v>Beauty</x:v>
      </x:c>
      <x:c r="H10" s="10" t="str">
        <x:f>IF(ISNA(VLOOKUP(C10,'Inventory'!$A$2:$F$21,2,FALSE)),"Review","OK")</x:f>
        <x:v>OK</x:v>
      </x:c>
      <x:c r="I10" s="8" t="str">
        <x:f>IFERROR(INDEX('Inventory'!$B$2:$B$21,MATCH(C10,'Inventory'!$A$2:$A$21,0)),"Product Not Found")</x:f>
        <x:v>Moisturizer</x:v>
      </x:c>
      <x:c r="J10" s="8" t="str">
        <x:f>XLOOKUP(C10,'Inventory'!$A$2:$A$21,'Inventory'!$B$2:$B$21,"Product Not Found")</x:f>
        <x:v>Moisturizer</x:v>
      </x:c>
      <x:c r="K10" s="70" t="n">
        <x:f>IFERROR(INDEX('Markup'!$B$2:$E$9,MATCH(C10,'Markup'!$A$2:$A$9,0),MATCH(E10,'Markup'!$B$1:$E$1,0)),"No Markup Data")</x:f>
        <x:v>0.06</x:v>
      </x:c>
      <x:c r="L10" s="70" t="n">
        <x:f>IFERROR(IF(D10&gt;5,INDEX('Markup'!$B$2:$E$9,MATCH(C10,'Markup'!$A$2:$A$9,0),MATCH(E10,'Markup'!$B$1:$E$1,0))-'Lookup Reference Guide'!$I$11,INDEX('Markup'!$B$2:$E$9,MATCH(C10,'Markup'!$A$2:$A$9,0),MATCH(E10,'Markup'!$B$1:$E$1,0))),"No Markup Data")</x:f>
        <x:v>0.06</x:v>
      </x:c>
      <x:c r="M10" s="9" t="n">
        <x:f>XLOOKUP(C10,'Inventory'!$A$2:$A$21,'Inventory'!$D$2:$D$21,0)</x:f>
        <x:v>349</x:v>
      </x:c>
      <x:c r="N10" s="9" t="n">
        <x:f>D10*M10</x:f>
        <x:v>349</x:v>
      </x:c>
      <x:c r="O10" s="70" t="n">
        <x:f>VLOOKUP(N10,'Lookup Reference Guide'!$H$4:$I$8,2,TRUE)</x:f>
        <x:v>0</x:v>
      </x:c>
      <x:c r="P10" s="71" t="n">
        <x:f>ROUND(N10*O10,2)</x:f>
        <x:v>0</x:v>
      </x:c>
    </x:row>
    <x:row r="11">
      <x:c r="A11" s="10" t="str">
        <x:v>TXN018</x:v>
      </x:c>
      <x:c r="B11" s="72" t="n">
        <x:v>46206</x:v>
      </x:c>
      <x:c r="C11" s="10" t="str">
        <x:v>P019</x:v>
      </x:c>
      <x:c r="D11" s="73" t="n">
        <x:v>7</x:v>
      </x:c>
      <x:c r="E11" s="10" t="str">
        <x:v>North</x:v>
      </x:c>
      <x:c r="F11" s="8" t="str">
        <x:f>IFERROR(VLOOKUP(C11,'Inventory'!$A$2:$F$21,2,FALSE),"Product Not Found")</x:f>
        <x:v>Table Lamp</x:v>
      </x:c>
      <x:c r="G11" s="8" t="str">
        <x:f>IFERROR(VLOOKUP(C11,'Inventory'!$A$2:$F$21,3,FALSE),"Product Not Found")</x:f>
        <x:v>Home &amp; Kitchen</x:v>
      </x:c>
      <x:c r="H11" s="10" t="str">
        <x:f>IF(ISNA(VLOOKUP(C11,'Inventory'!$A$2:$F$21,2,FALSE)),"Review","OK")</x:f>
        <x:v>OK</x:v>
      </x:c>
      <x:c r="I11" s="8" t="str">
        <x:f>IFERROR(INDEX('Inventory'!$B$2:$B$21,MATCH(C11,'Inventory'!$A$2:$A$21,0)),"Product Not Found")</x:f>
        <x:v>Table Lamp</x:v>
      </x:c>
      <x:c r="J11" s="8" t="str">
        <x:f>XLOOKUP(C11,'Inventory'!$A$2:$A$21,'Inventory'!$B$2:$B$21,"Product Not Found")</x:f>
        <x:v>Table Lamp</x:v>
      </x:c>
      <x:c r="K11" s="70" t="str">
        <x:f>IFERROR(INDEX('Markup'!$B$2:$E$9,MATCH(C11,'Markup'!$A$2:$A$9,0),MATCH(E11,'Markup'!$B$1:$E$1,0)),"No Markup Data")</x:f>
        <x:v>No Markup Data</x:v>
      </x:c>
      <x:c r="L11" s="70" t="str">
        <x:f>IFERROR(IF(D11&gt;5,INDEX('Markup'!$B$2:$E$9,MATCH(C11,'Markup'!$A$2:$A$9,0),MATCH(E11,'Markup'!$B$1:$E$1,0))-'Lookup Reference Guide'!$I$11,INDEX('Markup'!$B$2:$E$9,MATCH(C11,'Markup'!$A$2:$A$9,0),MATCH(E11,'Markup'!$B$1:$E$1,0))),"No Markup Data")</x:f>
        <x:v>No Markup Data</x:v>
      </x:c>
      <x:c r="M11" s="9" t="n">
        <x:f>XLOOKUP(C11,'Inventory'!$A$2:$A$21,'Inventory'!$D$2:$D$21,0)</x:f>
        <x:v>749</x:v>
      </x:c>
      <x:c r="N11" s="9" t="n">
        <x:f>D11*M11</x:f>
        <x:v>5243</x:v>
      </x:c>
      <x:c r="O11" s="70" t="n">
        <x:f>VLOOKUP(N11,'Lookup Reference Guide'!$H$4:$I$8,2,TRUE)</x:f>
        <x:v>0.05</x:v>
      </x:c>
      <x:c r="P11" s="71" t="n">
        <x:f>ROUND(N11*O11,2)</x:f>
        <x:v>262.15</x:v>
      </x:c>
    </x:row>
    <x:row r="12">
      <x:c r="A12" s="10" t="str">
        <x:v>TXN015</x:v>
      </x:c>
      <x:c r="B12" s="72" t="n">
        <x:v>46185</x:v>
      </x:c>
      <x:c r="C12" s="10" t="str">
        <x:v>P013</x:v>
      </x:c>
      <x:c r="D12" s="73" t="n">
        <x:v>6</x:v>
      </x:c>
      <x:c r="E12" s="10" t="str">
        <x:v>West</x:v>
      </x:c>
      <x:c r="F12" s="8" t="str">
        <x:f>IFERROR(VLOOKUP(C12,'Inventory'!$A$2:$F$21,2,FALSE),"Product Not Found")</x:f>
        <x:v>Cricket Bat</x:v>
      </x:c>
      <x:c r="G12" s="8" t="str">
        <x:f>IFERROR(VLOOKUP(C12,'Inventory'!$A$2:$F$21,3,FALSE),"Product Not Found")</x:f>
        <x:v>Sports</x:v>
      </x:c>
      <x:c r="H12" s="10" t="str">
        <x:f>IF(ISNA(VLOOKUP(C12,'Inventory'!$A$2:$F$21,2,FALSE)),"Review","OK")</x:f>
        <x:v>OK</x:v>
      </x:c>
      <x:c r="I12" s="8" t="str">
        <x:f>IFERROR(INDEX('Inventory'!$B$2:$B$21,MATCH(C12,'Inventory'!$A$2:$A$21,0)),"Product Not Found")</x:f>
        <x:v>Cricket Bat</x:v>
      </x:c>
      <x:c r="J12" s="8" t="str">
        <x:f>XLOOKUP(C12,'Inventory'!$A$2:$A$21,'Inventory'!$B$2:$B$21,"Product Not Found")</x:f>
        <x:v>Cricket Bat</x:v>
      </x:c>
      <x:c r="K12" s="70" t="str">
        <x:f>IFERROR(INDEX('Markup'!$B$2:$E$9,MATCH(C12,'Markup'!$A$2:$A$9,0),MATCH(E12,'Markup'!$B$1:$E$1,0)),"No Markup Data")</x:f>
        <x:v>No Markup Data</x:v>
      </x:c>
      <x:c r="L12" s="70" t="str">
        <x:f>IFERROR(IF(D12&gt;5,INDEX('Markup'!$B$2:$E$9,MATCH(C12,'Markup'!$A$2:$A$9,0),MATCH(E12,'Markup'!$B$1:$E$1,0))-'Lookup Reference Guide'!$I$11,INDEX('Markup'!$B$2:$E$9,MATCH(C12,'Markup'!$A$2:$A$9,0),MATCH(E12,'Markup'!$B$1:$E$1,0))),"No Markup Data")</x:f>
        <x:v>No Markup Data</x:v>
      </x:c>
      <x:c r="M12" s="9" t="n">
        <x:f>XLOOKUP(C12,'Inventory'!$A$2:$A$21,'Inventory'!$D$2:$D$21,0)</x:f>
        <x:v>1499</x:v>
      </x:c>
      <x:c r="N12" s="9" t="n">
        <x:f>D12*M12</x:f>
        <x:v>8994</x:v>
      </x:c>
      <x:c r="O12" s="70" t="n">
        <x:f>VLOOKUP(N12,'Lookup Reference Guide'!$H$4:$I$8,2,TRUE)</x:f>
        <x:v>0.05</x:v>
      </x:c>
      <x:c r="P12" s="71" t="n">
        <x:f>ROUND(N12*O12,2)</x:f>
        <x:v>449.7</x:v>
      </x:c>
    </x:row>
    <x:row r="13">
      <x:c r="A13" s="10" t="str">
        <x:v>TXN029</x:v>
      </x:c>
      <x:c r="B13" s="72" t="n">
        <x:v>46195</x:v>
      </x:c>
      <x:c r="C13" s="10" t="str">
        <x:v>P099</x:v>
      </x:c>
      <x:c r="D13" s="73" t="n">
        <x:v>2</x:v>
      </x:c>
      <x:c r="E13" s="10" t="str">
        <x:v>South</x:v>
      </x:c>
      <x:c r="F13" s="8" t="str">
        <x:f>IFERROR(VLOOKUP(C13,'Inventory'!$A$2:$F$21,2,FALSE),"Product Not Found")</x:f>
        <x:v>Product Not Found</x:v>
      </x:c>
      <x:c r="G13" s="8" t="str">
        <x:f>IFERROR(VLOOKUP(C13,'Inventory'!$A$2:$F$21,3,FALSE),"Product Not Found")</x:f>
        <x:v>Product Not Found</x:v>
      </x:c>
      <x:c r="H13" s="10" t="str">
        <x:f>IF(ISNA(VLOOKUP(C13,'Inventory'!$A$2:$F$21,2,FALSE)),"Review","OK")</x:f>
        <x:v>Review</x:v>
      </x:c>
      <x:c r="I13" s="8" t="str">
        <x:f>IFERROR(INDEX('Inventory'!$B$2:$B$21,MATCH(C13,'Inventory'!$A$2:$A$21,0)),"Product Not Found")</x:f>
        <x:v>Product Not Found</x:v>
      </x:c>
      <x:c r="J13" s="8" t="str">
        <x:f>XLOOKUP(C13,'Inventory'!$A$2:$A$21,'Inventory'!$B$2:$B$21,"Product Not Found")</x:f>
        <x:v>Product Not Found</x:v>
      </x:c>
      <x:c r="K13" s="70" t="str">
        <x:f>IFERROR(INDEX('Markup'!$B$2:$E$9,MATCH(C13,'Markup'!$A$2:$A$9,0),MATCH(E13,'Markup'!$B$1:$E$1,0)),"No Markup Data")</x:f>
        <x:v>No Markup Data</x:v>
      </x:c>
      <x:c r="L13" s="70" t="str">
        <x:f>IFERROR(IF(D13&gt;5,INDEX('Markup'!$B$2:$E$9,MATCH(C13,'Markup'!$A$2:$A$9,0),MATCH(E13,'Markup'!$B$1:$E$1,0))-'Lookup Reference Guide'!$I$11,INDEX('Markup'!$B$2:$E$9,MATCH(C13,'Markup'!$A$2:$A$9,0),MATCH(E13,'Markup'!$B$1:$E$1,0))),"No Markup Data")</x:f>
        <x:v>No Markup Data</x:v>
      </x:c>
      <x:c r="M13" s="9" t="n">
        <x:f>XLOOKUP(C13,'Inventory'!$A$2:$A$21,'Inventory'!$D$2:$D$21,0)</x:f>
        <x:v>0</x:v>
      </x:c>
      <x:c r="N13" s="9" t="n">
        <x:f>D13*M13</x:f>
        <x:v>0</x:v>
      </x:c>
      <x:c r="O13" s="70" t="n">
        <x:f>VLOOKUP(N13,'Lookup Reference Guide'!$H$4:$I$8,2,TRUE)</x:f>
        <x:v>0</x:v>
      </x:c>
      <x:c r="P13" s="71" t="n">
        <x:f>ROUND(N13*O13,2)</x:f>
        <x:v>0</x:v>
      </x:c>
    </x:row>
    <x:row r="14">
      <x:c r="A14" s="10" t="str">
        <x:v>TXN030</x:v>
      </x:c>
      <x:c r="B14" s="72" t="n">
        <x:v>46233</x:v>
      </x:c>
      <x:c r="C14" s="10" t="str">
        <x:v>P077</x:v>
      </x:c>
      <x:c r="D14" s="73" t="n">
        <x:v>5</x:v>
      </x:c>
      <x:c r="E14" s="10" t="str">
        <x:v>East</x:v>
      </x:c>
      <x:c r="F14" s="8" t="str">
        <x:f>IFERROR(VLOOKUP(C14,'Inventory'!$A$2:$F$21,2,FALSE),"Product Not Found")</x:f>
        <x:v>Product Not Found</x:v>
      </x:c>
      <x:c r="G14" s="8" t="str">
        <x:f>IFERROR(VLOOKUP(C14,'Inventory'!$A$2:$F$21,3,FALSE),"Product Not Found")</x:f>
        <x:v>Product Not Found</x:v>
      </x:c>
      <x:c r="H14" s="10" t="str">
        <x:f>IF(ISNA(VLOOKUP(C14,'Inventory'!$A$2:$F$21,2,FALSE)),"Review","OK")</x:f>
        <x:v>Review</x:v>
      </x:c>
      <x:c r="I14" s="8" t="str">
        <x:f>IFERROR(INDEX('Inventory'!$B$2:$B$21,MATCH(C14,'Inventory'!$A$2:$A$21,0)),"Product Not Found")</x:f>
        <x:v>Product Not Found</x:v>
      </x:c>
      <x:c r="J14" s="8" t="str">
        <x:f>XLOOKUP(C14,'Inventory'!$A$2:$A$21,'Inventory'!$B$2:$B$21,"Product Not Found")</x:f>
        <x:v>Product Not Found</x:v>
      </x:c>
      <x:c r="K14" s="70" t="str">
        <x:f>IFERROR(INDEX('Markup'!$B$2:$E$9,MATCH(C14,'Markup'!$A$2:$A$9,0),MATCH(E14,'Markup'!$B$1:$E$1,0)),"No Markup Data")</x:f>
        <x:v>No Markup Data</x:v>
      </x:c>
      <x:c r="L14" s="70" t="str">
        <x:f>IFERROR(IF(D14&gt;5,INDEX('Markup'!$B$2:$E$9,MATCH(C14,'Markup'!$A$2:$A$9,0),MATCH(E14,'Markup'!$B$1:$E$1,0))-'Lookup Reference Guide'!$I$11,INDEX('Markup'!$B$2:$E$9,MATCH(C14,'Markup'!$A$2:$A$9,0),MATCH(E14,'Markup'!$B$1:$E$1,0))),"No Markup Data")</x:f>
        <x:v>No Markup Data</x:v>
      </x:c>
      <x:c r="M14" s="9" t="n">
        <x:f>XLOOKUP(C14,'Inventory'!$A$2:$A$21,'Inventory'!$D$2:$D$21,0)</x:f>
        <x:v>0</x:v>
      </x:c>
      <x:c r="N14" s="9" t="n">
        <x:f>D14*M14</x:f>
        <x:v>0</x:v>
      </x:c>
      <x:c r="O14" s="70" t="n">
        <x:f>VLOOKUP(N14,'Lookup Reference Guide'!$H$4:$I$8,2,TRUE)</x:f>
        <x:v>0</x:v>
      </x:c>
      <x:c r="P14" s="71" t="n">
        <x:f>ROUND(N14*O14,2)</x:f>
        <x:v>0</x:v>
      </x:c>
    </x:row>
    <x:row r="15">
      <x:c r="A15" s="10" t="str">
        <x:v>TXN001</x:v>
      </x:c>
      <x:c r="B15" s="72" t="n">
        <x:v>46193</x:v>
      </x:c>
      <x:c r="C15" s="10" t="str">
        <x:v>P010</x:v>
      </x:c>
      <x:c r="D15" s="73" t="n">
        <x:v>3</x:v>
      </x:c>
      <x:c r="E15" s="10" t="str">
        <x:v>East</x:v>
      </x:c>
      <x:c r="F15" s="8" t="str">
        <x:f>IFERROR(VLOOKUP(C15,'Inventory'!$A$2:$F$21,2,FALSE),"Product Not Found")</x:f>
        <x:v>Cotton T-Shirt</x:v>
      </x:c>
      <x:c r="G15" s="8" t="str">
        <x:f>IFERROR(VLOOKUP(C15,'Inventory'!$A$2:$F$21,3,FALSE),"Product Not Found")</x:f>
        <x:v>Apparel</x:v>
      </x:c>
      <x:c r="H15" s="10" t="str">
        <x:f>IF(ISNA(VLOOKUP(C15,'Inventory'!$A$2:$F$21,2,FALSE)),"Review","OK")</x:f>
        <x:v>OK</x:v>
      </x:c>
      <x:c r="I15" s="8" t="str">
        <x:f>IFERROR(INDEX('Inventory'!$B$2:$B$21,MATCH(C15,'Inventory'!$A$2:$A$21,0)),"Product Not Found")</x:f>
        <x:v>Cotton T-Shirt</x:v>
      </x:c>
      <x:c r="J15" s="8" t="str">
        <x:f>XLOOKUP(C15,'Inventory'!$A$2:$A$21,'Inventory'!$B$2:$B$21,"Product Not Found")</x:f>
        <x:v>Cotton T-Shirt</x:v>
      </x:c>
      <x:c r="K15" s="70" t="str">
        <x:f>IFERROR(INDEX('Markup'!$B$2:$E$9,MATCH(C15,'Markup'!$A$2:$A$9,0),MATCH(E15,'Markup'!$B$1:$E$1,0)),"No Markup Data")</x:f>
        <x:v>No Markup Data</x:v>
      </x:c>
      <x:c r="L15" s="70" t="str">
        <x:f>IFERROR(IF(D15&gt;5,INDEX('Markup'!$B$2:$E$9,MATCH(C15,'Markup'!$A$2:$A$9,0),MATCH(E15,'Markup'!$B$1:$E$1,0))-'Lookup Reference Guide'!$I$11,INDEX('Markup'!$B$2:$E$9,MATCH(C15,'Markup'!$A$2:$A$9,0),MATCH(E15,'Markup'!$B$1:$E$1,0))),"No Markup Data")</x:f>
        <x:v>No Markup Data</x:v>
      </x:c>
      <x:c r="M15" s="9" t="n">
        <x:f>XLOOKUP(C15,'Inventory'!$A$2:$A$21,'Inventory'!$D$2:$D$21,0)</x:f>
        <x:v>599</x:v>
      </x:c>
      <x:c r="N15" s="9" t="n">
        <x:f>D15*M15</x:f>
        <x:v>1797</x:v>
      </x:c>
      <x:c r="O15" s="70" t="n">
        <x:f>VLOOKUP(N15,'Lookup Reference Guide'!$H$4:$I$8,2,TRUE)</x:f>
        <x:v>0.02</x:v>
      </x:c>
      <x:c r="P15" s="71" t="n">
        <x:f>ROUND(N15*O15,2)</x:f>
        <x:v>35.94</x:v>
      </x:c>
    </x:row>
    <x:row r="16">
      <x:c r="A16" s="10" t="str">
        <x:v>TXN028</x:v>
      </x:c>
      <x:c r="B16" s="72" t="n">
        <x:v>46179</x:v>
      </x:c>
      <x:c r="C16" s="10" t="str">
        <x:v>P098</x:v>
      </x:c>
      <x:c r="D16" s="73" t="n">
        <x:v>2</x:v>
      </x:c>
      <x:c r="E16" s="10" t="str">
        <x:v>East</x:v>
      </x:c>
      <x:c r="F16" s="8" t="str">
        <x:f>IFERROR(VLOOKUP(C16,'Inventory'!$A$2:$F$21,2,FALSE),"Product Not Found")</x:f>
        <x:v>Product Not Found</x:v>
      </x:c>
      <x:c r="G16" s="8" t="str">
        <x:f>IFERROR(VLOOKUP(C16,'Inventory'!$A$2:$F$21,3,FALSE),"Product Not Found")</x:f>
        <x:v>Product Not Found</x:v>
      </x:c>
      <x:c r="H16" s="10" t="str">
        <x:f>IF(ISNA(VLOOKUP(C16,'Inventory'!$A$2:$F$21,2,FALSE)),"Review","OK")</x:f>
        <x:v>Review</x:v>
      </x:c>
      <x:c r="I16" s="8" t="str">
        <x:f>IFERROR(INDEX('Inventory'!$B$2:$B$21,MATCH(C16,'Inventory'!$A$2:$A$21,0)),"Product Not Found")</x:f>
        <x:v>Product Not Found</x:v>
      </x:c>
      <x:c r="J16" s="8" t="str">
        <x:f>XLOOKUP(C16,'Inventory'!$A$2:$A$21,'Inventory'!$B$2:$B$21,"Product Not Found")</x:f>
        <x:v>Product Not Found</x:v>
      </x:c>
      <x:c r="K16" s="70" t="str">
        <x:f>IFERROR(INDEX('Markup'!$B$2:$E$9,MATCH(C16,'Markup'!$A$2:$A$9,0),MATCH(E16,'Markup'!$B$1:$E$1,0)),"No Markup Data")</x:f>
        <x:v>No Markup Data</x:v>
      </x:c>
      <x:c r="L16" s="70" t="str">
        <x:f>IFERROR(IF(D16&gt;5,INDEX('Markup'!$B$2:$E$9,MATCH(C16,'Markup'!$A$2:$A$9,0),MATCH(E16,'Markup'!$B$1:$E$1,0))-'Lookup Reference Guide'!$I$11,INDEX('Markup'!$B$2:$E$9,MATCH(C16,'Markup'!$A$2:$A$9,0),MATCH(E16,'Markup'!$B$1:$E$1,0))),"No Markup Data")</x:f>
        <x:v>No Markup Data</x:v>
      </x:c>
      <x:c r="M16" s="9" t="n">
        <x:f>XLOOKUP(C16,'Inventory'!$A$2:$A$21,'Inventory'!$D$2:$D$21,0)</x:f>
        <x:v>0</x:v>
      </x:c>
      <x:c r="N16" s="9" t="n">
        <x:f>D16*M16</x:f>
        <x:v>0</x:v>
      </x:c>
      <x:c r="O16" s="70" t="n">
        <x:f>VLOOKUP(N16,'Lookup Reference Guide'!$H$4:$I$8,2,TRUE)</x:f>
        <x:v>0</x:v>
      </x:c>
      <x:c r="P16" s="71" t="n">
        <x:f>ROUND(N16*O16,2)</x:f>
        <x:v>0</x:v>
      </x:c>
    </x:row>
    <x:row r="17">
      <x:c r="A17" s="10" t="str">
        <x:v>TXN008</x:v>
      </x:c>
      <x:c r="B17" s="72" t="n">
        <x:v>46183</x:v>
      </x:c>
      <x:c r="C17" s="10" t="str">
        <x:v>P001</x:v>
      </x:c>
      <x:c r="D17" s="73" t="n">
        <x:v>4</x:v>
      </x:c>
      <x:c r="E17" s="10" t="str">
        <x:v>East</x:v>
      </x:c>
      <x:c r="F17" s="8" t="str">
        <x:f>IFERROR(VLOOKUP(C17,'Inventory'!$A$2:$F$21,2,FALSE),"Product Not Found")</x:f>
        <x:v>Wireless Mouse</x:v>
      </x:c>
      <x:c r="G17" s="8" t="str">
        <x:f>IFERROR(VLOOKUP(C17,'Inventory'!$A$2:$F$21,3,FALSE),"Product Not Found")</x:f>
        <x:v>Electronics</x:v>
      </x:c>
      <x:c r="H17" s="10" t="str">
        <x:f>IF(ISNA(VLOOKUP(C17,'Inventory'!$A$2:$F$21,2,FALSE)),"Review","OK")</x:f>
        <x:v>OK</x:v>
      </x:c>
      <x:c r="I17" s="8" t="str">
        <x:f>IFERROR(INDEX('Inventory'!$B$2:$B$21,MATCH(C17,'Inventory'!$A$2:$A$21,0)),"Product Not Found")</x:f>
        <x:v>Wireless Mouse</x:v>
      </x:c>
      <x:c r="J17" s="8" t="str">
        <x:f>XLOOKUP(C17,'Inventory'!$A$2:$A$21,'Inventory'!$B$2:$B$21,"Product Not Found")</x:f>
        <x:v>Wireless Mouse</x:v>
      </x:c>
      <x:c r="K17" s="70" t="n">
        <x:f>IFERROR(INDEX('Markup'!$B$2:$E$9,MATCH(C17,'Markup'!$A$2:$A$9,0),MATCH(E17,'Markup'!$B$1:$E$1,0)),"No Markup Data")</x:f>
        <x:v>0.1</x:v>
      </x:c>
      <x:c r="L17" s="70" t="n">
        <x:f>IFERROR(IF(D17&gt;5,INDEX('Markup'!$B$2:$E$9,MATCH(C17,'Markup'!$A$2:$A$9,0),MATCH(E17,'Markup'!$B$1:$E$1,0))-'Lookup Reference Guide'!$I$11,INDEX('Markup'!$B$2:$E$9,MATCH(C17,'Markup'!$A$2:$A$9,0),MATCH(E17,'Markup'!$B$1:$E$1,0))),"No Markup Data")</x:f>
        <x:v>0.1</x:v>
      </x:c>
      <x:c r="M17" s="9" t="n">
        <x:f>XLOOKUP(C17,'Inventory'!$A$2:$A$21,'Inventory'!$D$2:$D$21,0)</x:f>
        <x:v>499</x:v>
      </x:c>
      <x:c r="N17" s="9" t="n">
        <x:f>D17*M17</x:f>
        <x:v>1996</x:v>
      </x:c>
      <x:c r="O17" s="70" t="n">
        <x:f>VLOOKUP(N17,'Lookup Reference Guide'!$H$4:$I$8,2,TRUE)</x:f>
        <x:v>0.02</x:v>
      </x:c>
      <x:c r="P17" s="71" t="n">
        <x:f>ROUND(N17*O17,2)</x:f>
        <x:v>39.92</x:v>
      </x:c>
    </x:row>
    <x:row r="18">
      <x:c r="A18" s="10" t="str">
        <x:v>TXN005</x:v>
      </x:c>
      <x:c r="B18" s="72" t="n">
        <x:v>46214</x:v>
      </x:c>
      <x:c r="C18" s="10" t="str">
        <x:v>P001</x:v>
      </x:c>
      <x:c r="D18" s="73" t="n">
        <x:v>7</x:v>
      </x:c>
      <x:c r="E18" s="10" t="str">
        <x:v>South</x:v>
      </x:c>
      <x:c r="F18" s="8" t="str">
        <x:f>IFERROR(VLOOKUP(C18,'Inventory'!$A$2:$F$21,2,FALSE),"Product Not Found")</x:f>
        <x:v>Wireless Mouse</x:v>
      </x:c>
      <x:c r="G18" s="8" t="str">
        <x:f>IFERROR(VLOOKUP(C18,'Inventory'!$A$2:$F$21,3,FALSE),"Product Not Found")</x:f>
        <x:v>Electronics</x:v>
      </x:c>
      <x:c r="H18" s="10" t="str">
        <x:f>IF(ISNA(VLOOKUP(C18,'Inventory'!$A$2:$F$21,2,FALSE)),"Review","OK")</x:f>
        <x:v>OK</x:v>
      </x:c>
      <x:c r="I18" s="8" t="str">
        <x:f>IFERROR(INDEX('Inventory'!$B$2:$B$21,MATCH(C18,'Inventory'!$A$2:$A$21,0)),"Product Not Found")</x:f>
        <x:v>Wireless Mouse</x:v>
      </x:c>
      <x:c r="J18" s="8" t="str">
        <x:f>XLOOKUP(C18,'Inventory'!$A$2:$A$21,'Inventory'!$B$2:$B$21,"Product Not Found")</x:f>
        <x:v>Wireless Mouse</x:v>
      </x:c>
      <x:c r="K18" s="70" t="n">
        <x:f>IFERROR(INDEX('Markup'!$B$2:$E$9,MATCH(C18,'Markup'!$A$2:$A$9,0),MATCH(E18,'Markup'!$B$1:$E$1,0)),"No Markup Data")</x:f>
        <x:v>0.08</x:v>
      </x:c>
      <x:c r="L18" s="70" t="n">
        <x:f>IFERROR(IF(D18&gt;5,INDEX('Markup'!$B$2:$E$9,MATCH(C18,'Markup'!$A$2:$A$9,0),MATCH(E18,'Markup'!$B$1:$E$1,0))-'Lookup Reference Guide'!$I$11,INDEX('Markup'!$B$2:$E$9,MATCH(C18,'Markup'!$A$2:$A$9,0),MATCH(E18,'Markup'!$B$1:$E$1,0))),"No Markup Data")</x:f>
        <x:v>0.06</x:v>
      </x:c>
      <x:c r="M18" s="9" t="n">
        <x:f>XLOOKUP(C18,'Inventory'!$A$2:$A$21,'Inventory'!$D$2:$D$21,0)</x:f>
        <x:v>499</x:v>
      </x:c>
      <x:c r="N18" s="9" t="n">
        <x:f>D18*M18</x:f>
        <x:v>3493</x:v>
      </x:c>
      <x:c r="O18" s="70" t="n">
        <x:f>VLOOKUP(N18,'Lookup Reference Guide'!$H$4:$I$8,2,TRUE)</x:f>
        <x:v>0.03</x:v>
      </x:c>
      <x:c r="P18" s="71" t="n">
        <x:f>ROUND(N18*O18,2)</x:f>
        <x:v>104.79</x:v>
      </x:c>
    </x:row>
    <x:row r="19">
      <x:c r="A19" s="10" t="str">
        <x:v>TXN019</x:v>
      </x:c>
      <x:c r="B19" s="72" t="n">
        <x:v>46202</x:v>
      </x:c>
      <x:c r="C19" s="10" t="str">
        <x:v>P009</x:v>
      </x:c>
      <x:c r="D19" s="73" t="n">
        <x:v>3</x:v>
      </x:c>
      <x:c r="E19" s="10" t="str">
        <x:v>North</x:v>
      </x:c>
      <x:c r="F19" s="8" t="str">
        <x:f>IFERROR(VLOOKUP(C19,'Inventory'!$A$2:$F$21,2,FALSE),"Product Not Found")</x:f>
        <x:v>Lipstick</x:v>
      </x:c>
      <x:c r="G19" s="8" t="str">
        <x:f>IFERROR(VLOOKUP(C19,'Inventory'!$A$2:$F$21,3,FALSE),"Product Not Found")</x:f>
        <x:v>Beauty</x:v>
      </x:c>
      <x:c r="H19" s="10" t="str">
        <x:f>IF(ISNA(VLOOKUP(C19,'Inventory'!$A$2:$F$21,2,FALSE)),"Review","OK")</x:f>
        <x:v>OK</x:v>
      </x:c>
      <x:c r="I19" s="8" t="str">
        <x:f>IFERROR(INDEX('Inventory'!$B$2:$B$21,MATCH(C19,'Inventory'!$A$2:$A$21,0)),"Product Not Found")</x:f>
        <x:v>Lipstick</x:v>
      </x:c>
      <x:c r="J19" s="8" t="str">
        <x:f>XLOOKUP(C19,'Inventory'!$A$2:$A$21,'Inventory'!$B$2:$B$21,"Product Not Found")</x:f>
        <x:v>Lipstick</x:v>
      </x:c>
      <x:c r="K19" s="70" t="str">
        <x:f>IFERROR(INDEX('Markup'!$B$2:$E$9,MATCH(C19,'Markup'!$A$2:$A$9,0),MATCH(E19,'Markup'!$B$1:$E$1,0)),"No Markup Data")</x:f>
        <x:v>No Markup Data</x:v>
      </x:c>
      <x:c r="L19" s="70" t="str">
        <x:f>IFERROR(IF(D19&gt;5,INDEX('Markup'!$B$2:$E$9,MATCH(C19,'Markup'!$A$2:$A$9,0),MATCH(E19,'Markup'!$B$1:$E$1,0))-'Lookup Reference Guide'!$I$11,INDEX('Markup'!$B$2:$E$9,MATCH(C19,'Markup'!$A$2:$A$9,0),MATCH(E19,'Markup'!$B$1:$E$1,0))),"No Markup Data")</x:f>
        <x:v>No Markup Data</x:v>
      </x:c>
      <x:c r="M19" s="9" t="n">
        <x:f>XLOOKUP(C19,'Inventory'!$A$2:$A$21,'Inventory'!$D$2:$D$21,0)</x:f>
        <x:v>299</x:v>
      </x:c>
      <x:c r="N19" s="9" t="n">
        <x:f>D19*M19</x:f>
        <x:v>897</x:v>
      </x:c>
      <x:c r="O19" s="70" t="n">
        <x:f>VLOOKUP(N19,'Lookup Reference Guide'!$H$4:$I$8,2,TRUE)</x:f>
        <x:v>0</x:v>
      </x:c>
      <x:c r="P19" s="71" t="n">
        <x:f>ROUND(N19*O19,2)</x:f>
        <x:v>0</x:v>
      </x:c>
    </x:row>
    <x:row r="20">
      <x:c r="A20" s="10" t="str">
        <x:v>TXN004</x:v>
      </x:c>
      <x:c r="B20" s="72" t="n">
        <x:v>46183</x:v>
      </x:c>
      <x:c r="C20" s="10" t="str">
        <x:v>P013</x:v>
      </x:c>
      <x:c r="D20" s="73" t="n">
        <x:v>1</x:v>
      </x:c>
      <x:c r="E20" s="10" t="str">
        <x:v>South</x:v>
      </x:c>
      <x:c r="F20" s="8" t="str">
        <x:f>IFERROR(VLOOKUP(C20,'Inventory'!$A$2:$F$21,2,FALSE),"Product Not Found")</x:f>
        <x:v>Cricket Bat</x:v>
      </x:c>
      <x:c r="G20" s="8" t="str">
        <x:f>IFERROR(VLOOKUP(C20,'Inventory'!$A$2:$F$21,3,FALSE),"Product Not Found")</x:f>
        <x:v>Sports</x:v>
      </x:c>
      <x:c r="H20" s="10" t="str">
        <x:f>IF(ISNA(VLOOKUP(C20,'Inventory'!$A$2:$F$21,2,FALSE)),"Review","OK")</x:f>
        <x:v>OK</x:v>
      </x:c>
      <x:c r="I20" s="8" t="str">
        <x:f>IFERROR(INDEX('Inventory'!$B$2:$B$21,MATCH(C20,'Inventory'!$A$2:$A$21,0)),"Product Not Found")</x:f>
        <x:v>Cricket Bat</x:v>
      </x:c>
      <x:c r="J20" s="8" t="str">
        <x:f>XLOOKUP(C20,'Inventory'!$A$2:$A$21,'Inventory'!$B$2:$B$21,"Product Not Found")</x:f>
        <x:v>Cricket Bat</x:v>
      </x:c>
      <x:c r="K20" s="70" t="str">
        <x:f>IFERROR(INDEX('Markup'!$B$2:$E$9,MATCH(C20,'Markup'!$A$2:$A$9,0),MATCH(E20,'Markup'!$B$1:$E$1,0)),"No Markup Data")</x:f>
        <x:v>No Markup Data</x:v>
      </x:c>
      <x:c r="L20" s="70" t="str">
        <x:f>IFERROR(IF(D20&gt;5,INDEX('Markup'!$B$2:$E$9,MATCH(C20,'Markup'!$A$2:$A$9,0),MATCH(E20,'Markup'!$B$1:$E$1,0))-'Lookup Reference Guide'!$I$11,INDEX('Markup'!$B$2:$E$9,MATCH(C20,'Markup'!$A$2:$A$9,0),MATCH(E20,'Markup'!$B$1:$E$1,0))),"No Markup Data")</x:f>
        <x:v>No Markup Data</x:v>
      </x:c>
      <x:c r="M20" s="9" t="n">
        <x:f>XLOOKUP(C20,'Inventory'!$A$2:$A$21,'Inventory'!$D$2:$D$21,0)</x:f>
        <x:v>1499</x:v>
      </x:c>
      <x:c r="N20" s="9" t="n">
        <x:f>D20*M20</x:f>
        <x:v>1499</x:v>
      </x:c>
      <x:c r="O20" s="70" t="n">
        <x:f>VLOOKUP(N20,'Lookup Reference Guide'!$H$4:$I$8,2,TRUE)</x:f>
        <x:v>0.02</x:v>
      </x:c>
      <x:c r="P20" s="71" t="n">
        <x:f>ROUND(N20*O20,2)</x:f>
        <x:v>29.98</x:v>
      </x:c>
    </x:row>
    <x:row r="21">
      <x:c r="A21" s="10" t="str">
        <x:v>TXN023</x:v>
      </x:c>
      <x:c r="B21" s="72" t="n">
        <x:v>46211</x:v>
      </x:c>
      <x:c r="C21" s="10" t="str">
        <x:v>P007</x:v>
      </x:c>
      <x:c r="D21" s="73" t="n">
        <x:v>2</x:v>
      </x:c>
      <x:c r="E21" s="10" t="str">
        <x:v>South</x:v>
      </x:c>
      <x:c r="F21" s="8" t="str">
        <x:f>IFERROR(VLOOKUP(C21,'Inventory'!$A$2:$F$21,2,FALSE),"Product Not Found")</x:f>
        <x:v>Face Wash</x:v>
      </x:c>
      <x:c r="G21" s="8" t="str">
        <x:f>IFERROR(VLOOKUP(C21,'Inventory'!$A$2:$F$21,3,FALSE),"Product Not Found")</x:f>
        <x:v>Beauty</x:v>
      </x:c>
      <x:c r="H21" s="10" t="str">
        <x:f>IF(ISNA(VLOOKUP(C21,'Inventory'!$A$2:$F$21,2,FALSE)),"Review","OK")</x:f>
        <x:v>OK</x:v>
      </x:c>
      <x:c r="I21" s="8" t="str">
        <x:f>IFERROR(INDEX('Inventory'!$B$2:$B$21,MATCH(C21,'Inventory'!$A$2:$A$21,0)),"Product Not Found")</x:f>
        <x:v>Face Wash</x:v>
      </x:c>
      <x:c r="J21" s="8" t="str">
        <x:f>XLOOKUP(C21,'Inventory'!$A$2:$A$21,'Inventory'!$B$2:$B$21,"Product Not Found")</x:f>
        <x:v>Face Wash</x:v>
      </x:c>
      <x:c r="K21" s="70" t="n">
        <x:f>IFERROR(INDEX('Markup'!$B$2:$E$9,MATCH(C21,'Markup'!$A$2:$A$9,0),MATCH(E21,'Markup'!$B$1:$E$1,0)),"No Markup Data")</x:f>
        <x:v>0.1</x:v>
      </x:c>
      <x:c r="L21" s="70" t="n">
        <x:f>IFERROR(IF(D21&gt;5,INDEX('Markup'!$B$2:$E$9,MATCH(C21,'Markup'!$A$2:$A$9,0),MATCH(E21,'Markup'!$B$1:$E$1,0))-'Lookup Reference Guide'!$I$11,INDEX('Markup'!$B$2:$E$9,MATCH(C21,'Markup'!$A$2:$A$9,0),MATCH(E21,'Markup'!$B$1:$E$1,0))),"No Markup Data")</x:f>
        <x:v>0.1</x:v>
      </x:c>
      <x:c r="M21" s="9" t="n">
        <x:f>XLOOKUP(C21,'Inventory'!$A$2:$A$21,'Inventory'!$D$2:$D$21,0)</x:f>
        <x:v>199</x:v>
      </x:c>
      <x:c r="N21" s="9" t="n">
        <x:f>D21*M21</x:f>
        <x:v>398</x:v>
      </x:c>
      <x:c r="O21" s="70" t="n">
        <x:f>VLOOKUP(N21,'Lookup Reference Guide'!$H$4:$I$8,2,TRUE)</x:f>
        <x:v>0</x:v>
      </x:c>
      <x:c r="P21" s="71" t="n">
        <x:f>ROUND(N21*O21,2)</x:f>
        <x:v>0</x:v>
      </x:c>
    </x:row>
    <x:row r="22">
      <x:c r="A22" s="10" t="str">
        <x:v>TXN024</x:v>
      </x:c>
      <x:c r="B22" s="72" t="n">
        <x:v>46197</x:v>
      </x:c>
      <x:c r="C22" s="10" t="str">
        <x:v>P014</x:v>
      </x:c>
      <x:c r="D22" s="73" t="n">
        <x:v>8</x:v>
      </x:c>
      <x:c r="E22" s="10" t="str">
        <x:v>South</x:v>
      </x:c>
      <x:c r="F22" s="8" t="str">
        <x:f>IFERROR(VLOOKUP(C22,'Inventory'!$A$2:$F$21,2,FALSE),"Product Not Found")</x:f>
        <x:v>Yoga Mat</x:v>
      </x:c>
      <x:c r="G22" s="8" t="str">
        <x:f>IFERROR(VLOOKUP(C22,'Inventory'!$A$2:$F$21,3,FALSE),"Product Not Found")</x:f>
        <x:v>Sports</x:v>
      </x:c>
      <x:c r="H22" s="10" t="str">
        <x:f>IF(ISNA(VLOOKUP(C22,'Inventory'!$A$2:$F$21,2,FALSE)),"Review","OK")</x:f>
        <x:v>OK</x:v>
      </x:c>
      <x:c r="I22" s="8" t="str">
        <x:f>IFERROR(INDEX('Inventory'!$B$2:$B$21,MATCH(C22,'Inventory'!$A$2:$A$21,0)),"Product Not Found")</x:f>
        <x:v>Yoga Mat</x:v>
      </x:c>
      <x:c r="J22" s="8" t="str">
        <x:f>XLOOKUP(C22,'Inventory'!$A$2:$A$21,'Inventory'!$B$2:$B$21,"Product Not Found")</x:f>
        <x:v>Yoga Mat</x:v>
      </x:c>
      <x:c r="K22" s="70" t="str">
        <x:f>IFERROR(INDEX('Markup'!$B$2:$E$9,MATCH(C22,'Markup'!$A$2:$A$9,0),MATCH(E22,'Markup'!$B$1:$E$1,0)),"No Markup Data")</x:f>
        <x:v>No Markup Data</x:v>
      </x:c>
      <x:c r="L22" s="70" t="str">
        <x:f>IFERROR(IF(D22&gt;5,INDEX('Markup'!$B$2:$E$9,MATCH(C22,'Markup'!$A$2:$A$9,0),MATCH(E22,'Markup'!$B$1:$E$1,0))-'Lookup Reference Guide'!$I$11,INDEX('Markup'!$B$2:$E$9,MATCH(C22,'Markup'!$A$2:$A$9,0),MATCH(E22,'Markup'!$B$1:$E$1,0))),"No Markup Data")</x:f>
        <x:v>No Markup Data</x:v>
      </x:c>
      <x:c r="M22" s="9" t="n">
        <x:f>XLOOKUP(C22,'Inventory'!$A$2:$A$21,'Inventory'!$D$2:$D$21,0)</x:f>
        <x:v>699</x:v>
      </x:c>
      <x:c r="N22" s="9" t="n">
        <x:f>D22*M22</x:f>
        <x:v>5592</x:v>
      </x:c>
      <x:c r="O22" s="70" t="n">
        <x:f>VLOOKUP(N22,'Lookup Reference Guide'!$H$4:$I$8,2,TRUE)</x:f>
        <x:v>0.05</x:v>
      </x:c>
      <x:c r="P22" s="71" t="n">
        <x:f>ROUND(N22*O22,2)</x:f>
        <x:v>279.6</x:v>
      </x:c>
    </x:row>
    <x:row r="23">
      <x:c r="A23" s="10" t="str">
        <x:v>TXN011</x:v>
      </x:c>
      <x:c r="B23" s="72" t="n">
        <x:v>46231</x:v>
      </x:c>
      <x:c r="C23" s="10" t="str">
        <x:v>P007</x:v>
      </x:c>
      <x:c r="D23" s="73" t="n">
        <x:v>4</x:v>
      </x:c>
      <x:c r="E23" s="10" t="str">
        <x:v>North</x:v>
      </x:c>
      <x:c r="F23" s="8" t="str">
        <x:f>IFERROR(VLOOKUP(C23,'Inventory'!$A$2:$F$21,2,FALSE),"Product Not Found")</x:f>
        <x:v>Face Wash</x:v>
      </x:c>
      <x:c r="G23" s="8" t="str">
        <x:f>IFERROR(VLOOKUP(C23,'Inventory'!$A$2:$F$21,3,FALSE),"Product Not Found")</x:f>
        <x:v>Beauty</x:v>
      </x:c>
      <x:c r="H23" s="10" t="str">
        <x:f>IF(ISNA(VLOOKUP(C23,'Inventory'!$A$2:$F$21,2,FALSE)),"Review","OK")</x:f>
        <x:v>OK</x:v>
      </x:c>
      <x:c r="I23" s="8" t="str">
        <x:f>IFERROR(INDEX('Inventory'!$B$2:$B$21,MATCH(C23,'Inventory'!$A$2:$A$21,0)),"Product Not Found")</x:f>
        <x:v>Face Wash</x:v>
      </x:c>
      <x:c r="J23" s="8" t="str">
        <x:f>XLOOKUP(C23,'Inventory'!$A$2:$A$21,'Inventory'!$B$2:$B$21,"Product Not Found")</x:f>
        <x:v>Face Wash</x:v>
      </x:c>
      <x:c r="K23" s="70" t="n">
        <x:f>IFERROR(INDEX('Markup'!$B$2:$E$9,MATCH(C23,'Markup'!$A$2:$A$9,0),MATCH(E23,'Markup'!$B$1:$E$1,0)),"No Markup Data")</x:f>
        <x:v>0.08</x:v>
      </x:c>
      <x:c r="L23" s="70" t="n">
        <x:f>IFERROR(IF(D23&gt;5,INDEX('Markup'!$B$2:$E$9,MATCH(C23,'Markup'!$A$2:$A$9,0),MATCH(E23,'Markup'!$B$1:$E$1,0))-'Lookup Reference Guide'!$I$11,INDEX('Markup'!$B$2:$E$9,MATCH(C23,'Markup'!$A$2:$A$9,0),MATCH(E23,'Markup'!$B$1:$E$1,0))),"No Markup Data")</x:f>
        <x:v>0.08</x:v>
      </x:c>
      <x:c r="M23" s="9" t="n">
        <x:f>XLOOKUP(C23,'Inventory'!$A$2:$A$21,'Inventory'!$D$2:$D$21,0)</x:f>
        <x:v>199</x:v>
      </x:c>
      <x:c r="N23" s="9" t="n">
        <x:f>D23*M23</x:f>
        <x:v>796</x:v>
      </x:c>
      <x:c r="O23" s="70" t="n">
        <x:f>VLOOKUP(N23,'Lookup Reference Guide'!$H$4:$I$8,2,TRUE)</x:f>
        <x:v>0</x:v>
      </x:c>
      <x:c r="P23" s="71" t="n">
        <x:f>ROUND(N23*O23,2)</x:f>
        <x:v>0</x:v>
      </x:c>
    </x:row>
    <x:row r="24">
      <x:c r="A24" s="10" t="str">
        <x:v>TXN017</x:v>
      </x:c>
      <x:c r="B24" s="72" t="n">
        <x:v>46219</x:v>
      </x:c>
      <x:c r="C24" s="10" t="str">
        <x:v>P011</x:v>
      </x:c>
      <x:c r="D24" s="73" t="n">
        <x:v>8</x:v>
      </x:c>
      <x:c r="E24" s="10" t="str">
        <x:v>North</x:v>
      </x:c>
      <x:c r="F24" s="8" t="str">
        <x:f>IFERROR(VLOOKUP(C24,'Inventory'!$A$2:$F$21,2,FALSE),"Product Not Found")</x:f>
        <x:v>Denim Jeans</x:v>
      </x:c>
      <x:c r="G24" s="8" t="str">
        <x:f>IFERROR(VLOOKUP(C24,'Inventory'!$A$2:$F$21,3,FALSE),"Product Not Found")</x:f>
        <x:v>Apparel</x:v>
      </x:c>
      <x:c r="H24" s="10" t="str">
        <x:f>IF(ISNA(VLOOKUP(C24,'Inventory'!$A$2:$F$21,2,FALSE)),"Review","OK")</x:f>
        <x:v>OK</x:v>
      </x:c>
      <x:c r="I24" s="8" t="str">
        <x:f>IFERROR(INDEX('Inventory'!$B$2:$B$21,MATCH(C24,'Inventory'!$A$2:$A$21,0)),"Product Not Found")</x:f>
        <x:v>Denim Jeans</x:v>
      </x:c>
      <x:c r="J24" s="8" t="str">
        <x:f>XLOOKUP(C24,'Inventory'!$A$2:$A$21,'Inventory'!$B$2:$B$21,"Product Not Found")</x:f>
        <x:v>Denim Jeans</x:v>
      </x:c>
      <x:c r="K24" s="70" t="str">
        <x:f>IFERROR(INDEX('Markup'!$B$2:$E$9,MATCH(C24,'Markup'!$A$2:$A$9,0),MATCH(E24,'Markup'!$B$1:$E$1,0)),"No Markup Data")</x:f>
        <x:v>No Markup Data</x:v>
      </x:c>
      <x:c r="L24" s="70" t="str">
        <x:f>IFERROR(IF(D24&gt;5,INDEX('Markup'!$B$2:$E$9,MATCH(C24,'Markup'!$A$2:$A$9,0),MATCH(E24,'Markup'!$B$1:$E$1,0))-'Lookup Reference Guide'!$I$11,INDEX('Markup'!$B$2:$E$9,MATCH(C24,'Markup'!$A$2:$A$9,0),MATCH(E24,'Markup'!$B$1:$E$1,0))),"No Markup Data")</x:f>
        <x:v>No Markup Data</x:v>
      </x:c>
      <x:c r="M24" s="9" t="n">
        <x:f>XLOOKUP(C24,'Inventory'!$A$2:$A$21,'Inventory'!$D$2:$D$21,0)</x:f>
        <x:v>1299</x:v>
      </x:c>
      <x:c r="N24" s="9" t="n">
        <x:f>D24*M24</x:f>
        <x:v>10392</x:v>
      </x:c>
      <x:c r="O24" s="70" t="n">
        <x:f>VLOOKUP(N24,'Lookup Reference Guide'!$H$4:$I$8,2,TRUE)</x:f>
        <x:v>0.07</x:v>
      </x:c>
      <x:c r="P24" s="71" t="n">
        <x:f>ROUND(N24*O24,2)</x:f>
        <x:v>727.44</x:v>
      </x:c>
    </x:row>
    <x:row r="25">
      <x:c r="A25" s="10" t="str">
        <x:v>TXN007</x:v>
      </x:c>
      <x:c r="B25" s="72" t="n">
        <x:v>46212</x:v>
      </x:c>
      <x:c r="C25" s="10" t="str">
        <x:v>P019</x:v>
      </x:c>
      <x:c r="D25" s="73" t="n">
        <x:v>2</x:v>
      </x:c>
      <x:c r="E25" s="10" t="str">
        <x:v>East</x:v>
      </x:c>
      <x:c r="F25" s="8" t="str">
        <x:f>IFERROR(VLOOKUP(C25,'Inventory'!$A$2:$F$21,2,FALSE),"Product Not Found")</x:f>
        <x:v>Table Lamp</x:v>
      </x:c>
      <x:c r="G25" s="8" t="str">
        <x:f>IFERROR(VLOOKUP(C25,'Inventory'!$A$2:$F$21,3,FALSE),"Product Not Found")</x:f>
        <x:v>Home &amp; Kitchen</x:v>
      </x:c>
      <x:c r="H25" s="10" t="str">
        <x:f>IF(ISNA(VLOOKUP(C25,'Inventory'!$A$2:$F$21,2,FALSE)),"Review","OK")</x:f>
        <x:v>OK</x:v>
      </x:c>
      <x:c r="I25" s="8" t="str">
        <x:f>IFERROR(INDEX('Inventory'!$B$2:$B$21,MATCH(C25,'Inventory'!$A$2:$A$21,0)),"Product Not Found")</x:f>
        <x:v>Table Lamp</x:v>
      </x:c>
      <x:c r="J25" s="8" t="str">
        <x:f>XLOOKUP(C25,'Inventory'!$A$2:$A$21,'Inventory'!$B$2:$B$21,"Product Not Found")</x:f>
        <x:v>Table Lamp</x:v>
      </x:c>
      <x:c r="K25" s="70" t="str">
        <x:f>IFERROR(INDEX('Markup'!$B$2:$E$9,MATCH(C25,'Markup'!$A$2:$A$9,0),MATCH(E25,'Markup'!$B$1:$E$1,0)),"No Markup Data")</x:f>
        <x:v>No Markup Data</x:v>
      </x:c>
      <x:c r="L25" s="70" t="str">
        <x:f>IFERROR(IF(D25&gt;5,INDEX('Markup'!$B$2:$E$9,MATCH(C25,'Markup'!$A$2:$A$9,0),MATCH(E25,'Markup'!$B$1:$E$1,0))-'Lookup Reference Guide'!$I$11,INDEX('Markup'!$B$2:$E$9,MATCH(C25,'Markup'!$A$2:$A$9,0),MATCH(E25,'Markup'!$B$1:$E$1,0))),"No Markup Data")</x:f>
        <x:v>No Markup Data</x:v>
      </x:c>
      <x:c r="M25" s="9" t="n">
        <x:f>XLOOKUP(C25,'Inventory'!$A$2:$A$21,'Inventory'!$D$2:$D$21,0)</x:f>
        <x:v>749</x:v>
      </x:c>
      <x:c r="N25" s="9" t="n">
        <x:f>D25*M25</x:f>
        <x:v>1498</x:v>
      </x:c>
      <x:c r="O25" s="70" t="n">
        <x:f>VLOOKUP(N25,'Lookup Reference Guide'!$H$4:$I$8,2,TRUE)</x:f>
        <x:v>0.02</x:v>
      </x:c>
      <x:c r="P25" s="71" t="n">
        <x:f>ROUND(N25*O25,2)</x:f>
        <x:v>29.96</x:v>
      </x:c>
    </x:row>
    <x:row r="26">
      <x:c r="A26" s="10" t="str">
        <x:v>TXN016</x:v>
      </x:c>
      <x:c r="B26" s="72" t="n">
        <x:v>46221</x:v>
      </x:c>
      <x:c r="C26" s="10" t="str">
        <x:v>P013</x:v>
      </x:c>
      <x:c r="D26" s="73" t="n">
        <x:v>3</x:v>
      </x:c>
      <x:c r="E26" s="10" t="str">
        <x:v>East</x:v>
      </x:c>
      <x:c r="F26" s="8" t="str">
        <x:f>IFERROR(VLOOKUP(C26,'Inventory'!$A$2:$F$21,2,FALSE),"Product Not Found")</x:f>
        <x:v>Cricket Bat</x:v>
      </x:c>
      <x:c r="G26" s="8" t="str">
        <x:f>IFERROR(VLOOKUP(C26,'Inventory'!$A$2:$F$21,3,FALSE),"Product Not Found")</x:f>
        <x:v>Sports</x:v>
      </x:c>
      <x:c r="H26" s="10" t="str">
        <x:f>IF(ISNA(VLOOKUP(C26,'Inventory'!$A$2:$F$21,2,FALSE)),"Review","OK")</x:f>
        <x:v>OK</x:v>
      </x:c>
      <x:c r="I26" s="8" t="str">
        <x:f>IFERROR(INDEX('Inventory'!$B$2:$B$21,MATCH(C26,'Inventory'!$A$2:$A$21,0)),"Product Not Found")</x:f>
        <x:v>Cricket Bat</x:v>
      </x:c>
      <x:c r="J26" s="8" t="str">
        <x:f>XLOOKUP(C26,'Inventory'!$A$2:$A$21,'Inventory'!$B$2:$B$21,"Product Not Found")</x:f>
        <x:v>Cricket Bat</x:v>
      </x:c>
      <x:c r="K26" s="70" t="str">
        <x:f>IFERROR(INDEX('Markup'!$B$2:$E$9,MATCH(C26,'Markup'!$A$2:$A$9,0),MATCH(E26,'Markup'!$B$1:$E$1,0)),"No Markup Data")</x:f>
        <x:v>No Markup Data</x:v>
      </x:c>
      <x:c r="L26" s="70" t="str">
        <x:f>IFERROR(IF(D26&gt;5,INDEX('Markup'!$B$2:$E$9,MATCH(C26,'Markup'!$A$2:$A$9,0),MATCH(E26,'Markup'!$B$1:$E$1,0))-'Lookup Reference Guide'!$I$11,INDEX('Markup'!$B$2:$E$9,MATCH(C26,'Markup'!$A$2:$A$9,0),MATCH(E26,'Markup'!$B$1:$E$1,0))),"No Markup Data")</x:f>
        <x:v>No Markup Data</x:v>
      </x:c>
      <x:c r="M26" s="9" t="n">
        <x:f>XLOOKUP(C26,'Inventory'!$A$2:$A$21,'Inventory'!$D$2:$D$21,0)</x:f>
        <x:v>1499</x:v>
      </x:c>
      <x:c r="N26" s="9" t="n">
        <x:f>D26*M26</x:f>
        <x:v>4497</x:v>
      </x:c>
      <x:c r="O26" s="70" t="n">
        <x:f>VLOOKUP(N26,'Lookup Reference Guide'!$H$4:$I$8,2,TRUE)</x:f>
        <x:v>0.03</x:v>
      </x:c>
      <x:c r="P26" s="71" t="n">
        <x:f>ROUND(N26*O26,2)</x:f>
        <x:v>134.91</x:v>
      </x:c>
    </x:row>
    <x:row r="27">
      <x:c r="A27" s="10" t="str">
        <x:v>TXN013</x:v>
      </x:c>
      <x:c r="B27" s="72" t="n">
        <x:v>46198</x:v>
      </x:c>
      <x:c r="C27" s="10" t="str">
        <x:v>P003</x:v>
      </x:c>
      <x:c r="D27" s="73" t="n">
        <x:v>2</x:v>
      </x:c>
      <x:c r="E27" s="10" t="str">
        <x:v>North</x:v>
      </x:c>
      <x:c r="F27" s="8" t="str">
        <x:f>IFERROR(VLOOKUP(C27,'Inventory'!$A$2:$F$21,2,FALSE),"Product Not Found")</x:f>
        <x:v>Bluetooth Speaker</x:v>
      </x:c>
      <x:c r="G27" s="8" t="str">
        <x:f>IFERROR(VLOOKUP(C27,'Inventory'!$A$2:$F$21,3,FALSE),"Product Not Found")</x:f>
        <x:v>Electronics</x:v>
      </x:c>
      <x:c r="H27" s="10" t="str">
        <x:f>IF(ISNA(VLOOKUP(C27,'Inventory'!$A$2:$F$21,2,FALSE)),"Review","OK")</x:f>
        <x:v>OK</x:v>
      </x:c>
      <x:c r="I27" s="8" t="str">
        <x:f>IFERROR(INDEX('Inventory'!$B$2:$B$21,MATCH(C27,'Inventory'!$A$2:$A$21,0)),"Product Not Found")</x:f>
        <x:v>Bluetooth Speaker</x:v>
      </x:c>
      <x:c r="J27" s="8" t="str">
        <x:f>XLOOKUP(C27,'Inventory'!$A$2:$A$21,'Inventory'!$B$2:$B$21,"Product Not Found")</x:f>
        <x:v>Bluetooth Speaker</x:v>
      </x:c>
      <x:c r="K27" s="70" t="n">
        <x:f>IFERROR(INDEX('Markup'!$B$2:$E$9,MATCH(C27,'Markup'!$A$2:$A$9,0),MATCH(E27,'Markup'!$B$1:$E$1,0)),"No Markup Data")</x:f>
        <x:v>0.06</x:v>
      </x:c>
      <x:c r="L27" s="70" t="n">
        <x:f>IFERROR(IF(D27&gt;5,INDEX('Markup'!$B$2:$E$9,MATCH(C27,'Markup'!$A$2:$A$9,0),MATCH(E27,'Markup'!$B$1:$E$1,0))-'Lookup Reference Guide'!$I$11,INDEX('Markup'!$B$2:$E$9,MATCH(C27,'Markup'!$A$2:$A$9,0),MATCH(E27,'Markup'!$B$1:$E$1,0))),"No Markup Data")</x:f>
        <x:v>0.06</x:v>
      </x:c>
      <x:c r="M27" s="9" t="n">
        <x:f>XLOOKUP(C27,'Inventory'!$A$2:$A$21,'Inventory'!$D$2:$D$21,0)</x:f>
        <x:v>1499</x:v>
      </x:c>
      <x:c r="N27" s="9" t="n">
        <x:f>D27*M27</x:f>
        <x:v>2998</x:v>
      </x:c>
      <x:c r="O27" s="70" t="n">
        <x:f>VLOOKUP(N27,'Lookup Reference Guide'!$H$4:$I$8,2,TRUE)</x:f>
        <x:v>0.03</x:v>
      </x:c>
      <x:c r="P27" s="71" t="n">
        <x:f>ROUND(N27*O27,2)</x:f>
        <x:v>89.94</x:v>
      </x:c>
    </x:row>
    <x:row r="28">
      <x:c r="A28" s="10" t="str">
        <x:v>TXN006</x:v>
      </x:c>
      <x:c r="B28" s="72" t="n">
        <x:v>46182</x:v>
      </x:c>
      <x:c r="C28" s="10" t="str">
        <x:v>P010</x:v>
      </x:c>
      <x:c r="D28" s="73" t="n">
        <x:v>3</x:v>
      </x:c>
      <x:c r="E28" s="10" t="str">
        <x:v>North</x:v>
      </x:c>
      <x:c r="F28" s="8" t="str">
        <x:f>IFERROR(VLOOKUP(C28,'Inventory'!$A$2:$F$21,2,FALSE),"Product Not Found")</x:f>
        <x:v>Cotton T-Shirt</x:v>
      </x:c>
      <x:c r="G28" s="8" t="str">
        <x:f>IFERROR(VLOOKUP(C28,'Inventory'!$A$2:$F$21,3,FALSE),"Product Not Found")</x:f>
        <x:v>Apparel</x:v>
      </x:c>
      <x:c r="H28" s="10" t="str">
        <x:f>IF(ISNA(VLOOKUP(C28,'Inventory'!$A$2:$F$21,2,FALSE)),"Review","OK")</x:f>
        <x:v>OK</x:v>
      </x:c>
      <x:c r="I28" s="8" t="str">
        <x:f>IFERROR(INDEX('Inventory'!$B$2:$B$21,MATCH(C28,'Inventory'!$A$2:$A$21,0)),"Product Not Found")</x:f>
        <x:v>Cotton T-Shirt</x:v>
      </x:c>
      <x:c r="J28" s="8" t="str">
        <x:f>XLOOKUP(C28,'Inventory'!$A$2:$A$21,'Inventory'!$B$2:$B$21,"Product Not Found")</x:f>
        <x:v>Cotton T-Shirt</x:v>
      </x:c>
      <x:c r="K28" s="70" t="str">
        <x:f>IFERROR(INDEX('Markup'!$B$2:$E$9,MATCH(C28,'Markup'!$A$2:$A$9,0),MATCH(E28,'Markup'!$B$1:$E$1,0)),"No Markup Data")</x:f>
        <x:v>No Markup Data</x:v>
      </x:c>
      <x:c r="L28" s="70" t="str">
        <x:f>IFERROR(IF(D28&gt;5,INDEX('Markup'!$B$2:$E$9,MATCH(C28,'Markup'!$A$2:$A$9,0),MATCH(E28,'Markup'!$B$1:$E$1,0))-'Lookup Reference Guide'!$I$11,INDEX('Markup'!$B$2:$E$9,MATCH(C28,'Markup'!$A$2:$A$9,0),MATCH(E28,'Markup'!$B$1:$E$1,0))),"No Markup Data")</x:f>
        <x:v>No Markup Data</x:v>
      </x:c>
      <x:c r="M28" s="9" t="n">
        <x:f>XLOOKUP(C28,'Inventory'!$A$2:$A$21,'Inventory'!$D$2:$D$21,0)</x:f>
        <x:v>599</x:v>
      </x:c>
      <x:c r="N28" s="9" t="n">
        <x:f>D28*M28</x:f>
        <x:v>1797</x:v>
      </x:c>
      <x:c r="O28" s="70" t="n">
        <x:f>VLOOKUP(N28,'Lookup Reference Guide'!$H$4:$I$8,2,TRUE)</x:f>
        <x:v>0.02</x:v>
      </x:c>
      <x:c r="P28" s="71" t="n">
        <x:f>ROUND(N28*O28,2)</x:f>
        <x:v>35.94</x:v>
      </x:c>
    </x:row>
    <x:row r="29">
      <x:c r="A29" s="10" t="str">
        <x:v>TXN002</x:v>
      </x:c>
      <x:c r="B29" s="72" t="n">
        <x:v>46188</x:v>
      </x:c>
      <x:c r="C29" s="10" t="str">
        <x:v>P016</x:v>
      </x:c>
      <x:c r="D29" s="73" t="n">
        <x:v>8</x:v>
      </x:c>
      <x:c r="E29" s="10" t="str">
        <x:v>East</x:v>
      </x:c>
      <x:c r="F29" s="8" t="str">
        <x:f>IFERROR(VLOOKUP(C29,'Inventory'!$A$2:$F$21,2,FALSE),"Product Not Found")</x:f>
        <x:v>Non-Stick Pan</x:v>
      </x:c>
      <x:c r="G29" s="8" t="str">
        <x:f>IFERROR(VLOOKUP(C29,'Inventory'!$A$2:$F$21,3,FALSE),"Product Not Found")</x:f>
        <x:v>Home &amp; Kitchen</x:v>
      </x:c>
      <x:c r="H29" s="10" t="str">
        <x:f>IF(ISNA(VLOOKUP(C29,'Inventory'!$A$2:$F$21,2,FALSE)),"Review","OK")</x:f>
        <x:v>OK</x:v>
      </x:c>
      <x:c r="I29" s="8" t="str">
        <x:f>IFERROR(INDEX('Inventory'!$B$2:$B$21,MATCH(C29,'Inventory'!$A$2:$A$21,0)),"Product Not Found")</x:f>
        <x:v>Non-Stick Pan</x:v>
      </x:c>
      <x:c r="J29" s="8" t="str">
        <x:f>XLOOKUP(C29,'Inventory'!$A$2:$A$21,'Inventory'!$B$2:$B$21,"Product Not Found")</x:f>
        <x:v>Non-Stick Pan</x:v>
      </x:c>
      <x:c r="K29" s="70" t="str">
        <x:f>IFERROR(INDEX('Markup'!$B$2:$E$9,MATCH(C29,'Markup'!$A$2:$A$9,0),MATCH(E29,'Markup'!$B$1:$E$1,0)),"No Markup Data")</x:f>
        <x:v>No Markup Data</x:v>
      </x:c>
      <x:c r="L29" s="70" t="str">
        <x:f>IFERROR(IF(D29&gt;5,INDEX('Markup'!$B$2:$E$9,MATCH(C29,'Markup'!$A$2:$A$9,0),MATCH(E29,'Markup'!$B$1:$E$1,0))-'Lookup Reference Guide'!$I$11,INDEX('Markup'!$B$2:$E$9,MATCH(C29,'Markup'!$A$2:$A$9,0),MATCH(E29,'Markup'!$B$1:$E$1,0))),"No Markup Data")</x:f>
        <x:v>No Markup Data</x:v>
      </x:c>
      <x:c r="M29" s="9" t="n">
        <x:f>XLOOKUP(C29,'Inventory'!$A$2:$A$21,'Inventory'!$D$2:$D$21,0)</x:f>
        <x:v>1199</x:v>
      </x:c>
      <x:c r="N29" s="9" t="n">
        <x:f>D29*M29</x:f>
        <x:v>9592</x:v>
      </x:c>
      <x:c r="O29" s="70" t="n">
        <x:f>VLOOKUP(N29,'Lookup Reference Guide'!$H$4:$I$8,2,TRUE)</x:f>
        <x:v>0.05</x:v>
      </x:c>
      <x:c r="P29" s="71" t="n">
        <x:f>ROUND(N29*O29,2)</x:f>
        <x:v>479.6</x:v>
      </x:c>
    </x:row>
    <x:row r="30">
      <x:c r="A30" s="10" t="str">
        <x:v>TXN025</x:v>
      </x:c>
      <x:c r="B30" s="72" t="n">
        <x:v>46217</x:v>
      </x:c>
      <x:c r="C30" s="10" t="str">
        <x:v>P008</x:v>
      </x:c>
      <x:c r="D30" s="73" t="n">
        <x:v>1</x:v>
      </x:c>
      <x:c r="E30" s="10" t="str">
        <x:v>West</x:v>
      </x:c>
      <x:c r="F30" s="8" t="str">
        <x:f>IFERROR(VLOOKUP(C30,'Inventory'!$A$2:$F$21,2,FALSE),"Product Not Found")</x:f>
        <x:v>Moisturizer</x:v>
      </x:c>
      <x:c r="G30" s="8" t="str">
        <x:f>IFERROR(VLOOKUP(C30,'Inventory'!$A$2:$F$21,3,FALSE),"Product Not Found")</x:f>
        <x:v>Beauty</x:v>
      </x:c>
      <x:c r="H30" s="10" t="str">
        <x:f>IF(ISNA(VLOOKUP(C30,'Inventory'!$A$2:$F$21,2,FALSE)),"Review","OK")</x:f>
        <x:v>OK</x:v>
      </x:c>
      <x:c r="I30" s="8" t="str">
        <x:f>IFERROR(INDEX('Inventory'!$B$2:$B$21,MATCH(C30,'Inventory'!$A$2:$A$21,0)),"Product Not Found")</x:f>
        <x:v>Moisturizer</x:v>
      </x:c>
      <x:c r="J30" s="8" t="str">
        <x:f>XLOOKUP(C30,'Inventory'!$A$2:$A$21,'Inventory'!$B$2:$B$21,"Product Not Found")</x:f>
        <x:v>Moisturizer</x:v>
      </x:c>
      <x:c r="K30" s="70" t="n">
        <x:f>IFERROR(INDEX('Markup'!$B$2:$E$9,MATCH(C30,'Markup'!$A$2:$A$9,0),MATCH(E30,'Markup'!$B$1:$E$1,0)),"No Markup Data")</x:f>
        <x:v>0.03</x:v>
      </x:c>
      <x:c r="L30" s="70" t="n">
        <x:f>IFERROR(IF(D30&gt;5,INDEX('Markup'!$B$2:$E$9,MATCH(C30,'Markup'!$A$2:$A$9,0),MATCH(E30,'Markup'!$B$1:$E$1,0))-'Lookup Reference Guide'!$I$11,INDEX('Markup'!$B$2:$E$9,MATCH(C30,'Markup'!$A$2:$A$9,0),MATCH(E30,'Markup'!$B$1:$E$1,0))),"No Markup Data")</x:f>
        <x:v>0.03</x:v>
      </x:c>
      <x:c r="M30" s="9" t="n">
        <x:f>XLOOKUP(C30,'Inventory'!$A$2:$A$21,'Inventory'!$D$2:$D$21,0)</x:f>
        <x:v>349</x:v>
      </x:c>
      <x:c r="N30" s="9" t="n">
        <x:f>D30*M30</x:f>
        <x:v>349</x:v>
      </x:c>
      <x:c r="O30" s="70" t="n">
        <x:f>VLOOKUP(N30,'Lookup Reference Guide'!$H$4:$I$8,2,TRUE)</x:f>
        <x:v>0</x:v>
      </x:c>
      <x:c r="P30" s="71" t="n">
        <x:f>ROUND(N30*O30,2)</x:f>
        <x:v>0</x:v>
      </x:c>
    </x:row>
    <x:row r="31">
      <x:c r="A31" s="10" t="str">
        <x:v>TXN009</x:v>
      </x:c>
      <x:c r="B31" s="72" t="n">
        <x:v>46224</x:v>
      </x:c>
      <x:c r="C31" s="10" t="str">
        <x:v>P008</x:v>
      </x:c>
      <x:c r="D31" s="73" t="n">
        <x:v>5</x:v>
      </x:c>
      <x:c r="E31" s="10" t="str">
        <x:v>North</x:v>
      </x:c>
      <x:c r="F31" s="8" t="str">
        <x:f>IFERROR(VLOOKUP(C31,'Inventory'!$A$2:$F$21,2,FALSE),"Product Not Found")</x:f>
        <x:v>Moisturizer</x:v>
      </x:c>
      <x:c r="G31" s="8" t="str">
        <x:f>IFERROR(VLOOKUP(C31,'Inventory'!$A$2:$F$21,3,FALSE),"Product Not Found")</x:f>
        <x:v>Beauty</x:v>
      </x:c>
      <x:c r="H31" s="10" t="str">
        <x:f>IF(ISNA(VLOOKUP(C31,'Inventory'!$A$2:$F$21,2,FALSE)),"Review","OK")</x:f>
        <x:v>OK</x:v>
      </x:c>
      <x:c r="I31" s="8" t="str">
        <x:f>IFERROR(INDEX('Inventory'!$B$2:$B$21,MATCH(C31,'Inventory'!$A$2:$A$21,0)),"Product Not Found")</x:f>
        <x:v>Moisturizer</x:v>
      </x:c>
      <x:c r="J31" s="8" t="str">
        <x:f>XLOOKUP(C31,'Inventory'!$A$2:$A$21,'Inventory'!$B$2:$B$21,"Product Not Found")</x:f>
        <x:v>Moisturizer</x:v>
      </x:c>
      <x:c r="K31" s="70" t="n">
        <x:f>IFERROR(INDEX('Markup'!$B$2:$E$9,MATCH(C31,'Markup'!$A$2:$A$9,0),MATCH(E31,'Markup'!$B$1:$E$1,0)),"No Markup Data")</x:f>
        <x:v>0.09</x:v>
      </x:c>
      <x:c r="L31" s="70" t="n">
        <x:f>IFERROR(IF(D31&gt;5,INDEX('Markup'!$B$2:$E$9,MATCH(C31,'Markup'!$A$2:$A$9,0),MATCH(E31,'Markup'!$B$1:$E$1,0))-'Lookup Reference Guide'!$I$11,INDEX('Markup'!$B$2:$E$9,MATCH(C31,'Markup'!$A$2:$A$9,0),MATCH(E31,'Markup'!$B$1:$E$1,0))),"No Markup Data")</x:f>
        <x:v>0.09</x:v>
      </x:c>
      <x:c r="M31" s="9" t="n">
        <x:f>XLOOKUP(C31,'Inventory'!$A$2:$A$21,'Inventory'!$D$2:$D$21,0)</x:f>
        <x:v>349</x:v>
      </x:c>
      <x:c r="N31" s="9" t="n">
        <x:f>D31*M31</x:f>
        <x:v>1745</x:v>
      </x:c>
      <x:c r="O31" s="70" t="n">
        <x:f>VLOOKUP(N31,'Lookup Reference Guide'!$H$4:$I$8,2,TRUE)</x:f>
        <x:v>0.02</x:v>
      </x:c>
      <x:c r="P31" s="71" t="n">
        <x:f>ROUND(N31*O31,2)</x:f>
        <x:v>34.9</x:v>
      </x:c>
    </x:row>
    <x:row r="34">
      <x:c r="A34" s="15" t="str">
        <x:v>Lookup Verification and Data Quality</x:v>
      </x:c>
      <x:c r="B34" s="30"/>
      <x:c r="C34" s="30"/>
      <x:c r="D34" s="16"/>
    </x:row>
    <x:row r="35">
      <x:c r="A35" s="18" t="str">
        <x:v>Approximate VLOOKUP test for P018</x:v>
      </x:c>
      <x:c r="B35" s="17"/>
      <x:c r="C35" s="17"/>
      <x:c r="D35" s="75" t="str">
        <x:f>VLOOKUP("P018",'Inventory'!$A$2:$F$21,2)</x:f>
        <x:v>Water Bottle</x:v>
      </x:c>
    </x:row>
    <x:row r="36">
      <x:c r="A36" s="18" t="str">
        <x:v>Exact VLOOKUP test for P018</x:v>
      </x:c>
      <x:c r="B36" s="17"/>
      <x:c r="C36" s="17"/>
      <x:c r="D36" s="75" t="str">
        <x:f>VLOOKUP("P018",'Inventory'!$A$2:$F$21,2,FALSE)</x:f>
        <x:v>Water Bottle</x:v>
      </x:c>
    </x:row>
    <x:row r="37">
      <x:c r="A37" s="18" t="str">
        <x:v>Rows requiring review</x:v>
      </x:c>
      <x:c r="B37" s="17"/>
      <x:c r="C37" s="17"/>
      <x:c r="D37" s="75" t="n">
        <x:f>COUNTIF(H2:H31,"Review")</x:f>
        <x:v>3</x:v>
      </x:c>
    </x:row>
    <x:row r="39" ht="30" customHeight="1">
      <x:c r="A39" s="59" t="str">
        <x:v>Why FALSE matters: without FALSE, VLOOKUP uses approximate matching and can silently return the nearest lower key. That is safe only when the lookup column is sorted ascending and approximate matching is intentional.</x:v>
      </x:c>
      <x:c r="B39" s="60"/>
      <x:c r="C39" s="60"/>
      <x:c r="D39" s="60"/>
      <x:c r="E39" s="60"/>
      <x:c r="F39" s="60"/>
      <x:c r="G39" s="60"/>
      <x:c r="H39" s="61"/>
    </x:row>
    <x:row r="40" ht="30" customHeight="1">
      <x:c r="A40" s="65"/>
      <x:c r="B40" s="66"/>
      <x:c r="C40" s="66"/>
      <x:c r="D40" s="66"/>
      <x:c r="E40" s="66"/>
      <x:c r="F40" s="66"/>
      <x:c r="G40" s="66"/>
      <x:c r="H40" s="67"/>
    </x:row>
  </x:sheetData>
  <x:mergeCells>
    <x:mergeCell ref="A34:D34"/>
    <x:mergeCell ref="A35:C35"/>
    <x:mergeCell ref="A36:C36"/>
    <x:mergeCell ref="A37:C37"/>
    <x:mergeCell ref="A39:H40"/>
  </x:mergeCells>
  <x:conditionalFormatting sqref="A2:P31">
    <x:cfRule type="expression" dxfId="1" priority="1">
      <x:formula>$H2="Review"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ef8f5f94bae4d8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7" max="7" width="14" hidden="0" customWidth="1"/>
    <x:col min="8" max="8" width="22" hidden="0" customWidth="1"/>
    <x:col min="9" max="9" width="22" hidden="0" customWidth="1"/>
  </x:cols>
  <x:sheetData>
    <x:row r="1" ht="30" customHeight="1">
      <x:c r="A1" s="6" t="str">
        <x:v>Region</x:v>
      </x:c>
      <x:c r="B1" s="6" t="str">
        <x:v>Q1 Target</x:v>
      </x:c>
      <x:c r="C1" s="6" t="str">
        <x:v>Q2 Target</x:v>
      </x:c>
      <x:c r="D1" s="6" t="str">
        <x:v>Q3 Target</x:v>
      </x:c>
      <x:c r="E1" s="6" t="str">
        <x:v>Q4 Target</x:v>
      </x:c>
      <x:c r="G1" s="6" t="str">
        <x:v>Region</x:v>
      </x:c>
      <x:c r="H1" s="6" t="str">
        <x:v>Q3 Target (HLOOKUP)</x:v>
      </x:c>
      <x:c r="I1" s="6" t="str">
        <x:v>Q4 Target (HLOOKUP)</x:v>
      </x:c>
    </x:row>
    <x:row r="2">
      <x:c r="A2" s="8" t="str">
        <x:v>North</x:v>
      </x:c>
      <x:c r="B2" s="9" t="n">
        <x:v>250000</x:v>
      </x:c>
      <x:c r="C2" s="9" t="n">
        <x:v>275000</x:v>
      </x:c>
      <x:c r="D2" s="9" t="n">
        <x:v>260000</x:v>
      </x:c>
      <x:c r="E2" s="9" t="n">
        <x:v>300000</x:v>
      </x:c>
      <x:c r="G2" s="17" t="str">
        <x:v>North</x:v>
      </x:c>
      <x:c r="H2" s="32" t="n">
        <x:f>HLOOKUP("Q3 Target",'QuarterlyTargets'!$A$1:$E$5,MATCH(G2,'QuarterlyTargets'!$A$1:$A$5,0),FALSE)</x:f>
        <x:v>260000</x:v>
      </x:c>
      <x:c r="I2" s="32" t="n">
        <x:f>HLOOKUP("Q4 Target",'QuarterlyTargets'!$A$1:$E$5,MATCH(G2,'QuarterlyTargets'!$A$1:$A$5,0),FALSE)</x:f>
        <x:v>300000</x:v>
      </x:c>
    </x:row>
    <x:row r="3">
      <x:c r="A3" s="8" t="str">
        <x:v>South</x:v>
      </x:c>
      <x:c r="B3" s="9" t="n">
        <x:v>220000</x:v>
      </x:c>
      <x:c r="C3" s="9" t="n">
        <x:v>230000</x:v>
      </x:c>
      <x:c r="D3" s="9" t="n">
        <x:v>245000</x:v>
      </x:c>
      <x:c r="E3" s="9" t="n">
        <x:v>260000</x:v>
      </x:c>
      <x:c r="G3" s="17" t="str">
        <x:v>South</x:v>
      </x:c>
      <x:c r="H3" s="32" t="n">
        <x:f>HLOOKUP("Q3 Target",'QuarterlyTargets'!$A$1:$E$5,MATCH(G3,'QuarterlyTargets'!$A$1:$A$5,0),FALSE)</x:f>
        <x:v>245000</x:v>
      </x:c>
      <x:c r="I3" s="32" t="n">
        <x:f>HLOOKUP("Q4 Target",'QuarterlyTargets'!$A$1:$E$5,MATCH(G3,'QuarterlyTargets'!$A$1:$A$5,0),FALSE)</x:f>
        <x:v>260000</x:v>
      </x:c>
    </x:row>
    <x:row r="4">
      <x:c r="A4" s="8" t="str">
        <x:v>East</x:v>
      </x:c>
      <x:c r="B4" s="9" t="n">
        <x:v>180000</x:v>
      </x:c>
      <x:c r="C4" s="9" t="n">
        <x:v>190000</x:v>
      </x:c>
      <x:c r="D4" s="9" t="n">
        <x:v>200000</x:v>
      </x:c>
      <x:c r="E4" s="9" t="n">
        <x:v>210000</x:v>
      </x:c>
      <x:c r="G4" s="17" t="str">
        <x:v>East</x:v>
      </x:c>
      <x:c r="H4" s="32" t="n">
        <x:f>HLOOKUP("Q3 Target",'QuarterlyTargets'!$A$1:$E$5,MATCH(G4,'QuarterlyTargets'!$A$1:$A$5,0),FALSE)</x:f>
        <x:v>200000</x:v>
      </x:c>
      <x:c r="I4" s="32" t="n">
        <x:f>HLOOKUP("Q4 Target",'QuarterlyTargets'!$A$1:$E$5,MATCH(G4,'QuarterlyTargets'!$A$1:$A$5,0),FALSE)</x:f>
        <x:v>210000</x:v>
      </x:c>
    </x:row>
    <x:row r="5">
      <x:c r="A5" s="8" t="str">
        <x:v>West</x:v>
      </x:c>
      <x:c r="B5" s="9" t="n">
        <x:v>300000</x:v>
      </x:c>
      <x:c r="C5" s="9" t="n">
        <x:v>310000</x:v>
      </x:c>
      <x:c r="D5" s="9" t="n">
        <x:v>295000</x:v>
      </x:c>
      <x:c r="E5" s="9" t="n">
        <x:v>330000</x:v>
      </x:c>
      <x:c r="G5" s="17" t="str">
        <x:v>West</x:v>
      </x:c>
      <x:c r="H5" s="32" t="n">
        <x:f>HLOOKUP("Q3 Target",'QuarterlyTargets'!$A$1:$E$5,MATCH(G5,'QuarterlyTargets'!$A$1:$A$5,0),FALSE)</x:f>
        <x:v>295000</x:v>
      </x:c>
      <x:c r="I5" s="32" t="n">
        <x:f>HLOOKUP("Q4 Target",'QuarterlyTargets'!$A$1:$E$5,MATCH(G5,'QuarterlyTargets'!$A$1:$A$5,0),FALSE)</x:f>
        <x:v>330000</x:v>
      </x:c>
    </x:row>
  </x:sheetData>
  <x:pageMargins left="0.7" right="0.7" top="0.75" bottom="0.75" header="0.3" footer="0.3"/>
  <x:tableParts count="1">
    <x:tablePart xmlns:r="http://schemas.openxmlformats.org/officeDocument/2006/relationships" r:id="R1f86573cb96049c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7" max="7" width="20" hidden="0" customWidth="1"/>
    <x:col min="8" max="8" width="17" hidden="0" customWidth="1"/>
  </x:cols>
  <x:sheetData>
    <x:row r="1" ht="30" customHeight="1">
      <x:c r="A1" s="6" t="str">
        <x:v>Product Code</x:v>
      </x:c>
      <x:c r="B1" s="6" t="str">
        <x:v>North</x:v>
      </x:c>
      <x:c r="C1" s="6" t="str">
        <x:v>South</x:v>
      </x:c>
      <x:c r="D1" s="6" t="str">
        <x:v>East</x:v>
      </x:c>
      <x:c r="E1" s="6" t="str">
        <x:v>West</x:v>
      </x:c>
      <x:c r="G1" s="15" t="str">
        <x:v>Two-Way Lookup Verification</x:v>
      </x:c>
      <x:c r="H1" s="16"/>
    </x:row>
    <x:row r="2">
      <x:c r="A2" s="8" t="str">
        <x:v>P001</x:v>
      </x:c>
      <x:c r="B2" s="70" t="n">
        <x:v>0.07</x:v>
      </x:c>
      <x:c r="C2" s="70" t="n">
        <x:v>0.08</x:v>
      </x:c>
      <x:c r="D2" s="70" t="n">
        <x:v>0.1</x:v>
      </x:c>
      <x:c r="E2" s="70" t="n">
        <x:v>0.05</x:v>
      </x:c>
      <x:c r="G2" s="18" t="str">
        <x:v>P003 / East</x:v>
      </x:c>
      <x:c r="H2" s="77" t="n">
        <x:f>INDEX('Markup'!$B$2:$E$9,MATCH("P003",'Markup'!$A$2:$A$9,0),MATCH("East",'Markup'!$B$1:$E$1,0))</x:f>
        <x:v>0.04</x:v>
      </x:c>
    </x:row>
    <x:row r="3">
      <x:c r="A3" s="8" t="str">
        <x:v>P002</x:v>
      </x:c>
      <x:c r="B3" s="70" t="n">
        <x:v>0.05</x:v>
      </x:c>
      <x:c r="C3" s="70" t="n">
        <x:v>0.09</x:v>
      </x:c>
      <x:c r="D3" s="70" t="n">
        <x:v>0.07</x:v>
      </x:c>
      <x:c r="E3" s="70" t="n">
        <x:v>0.06</x:v>
      </x:c>
      <x:c r="G3" s="18" t="str">
        <x:v>P008 / South</x:v>
      </x:c>
      <x:c r="H3" s="77" t="n">
        <x:f>INDEX('Markup'!$B$2:$E$9,MATCH("P008",'Markup'!$A$2:$A$9,0),MATCH("South",'Markup'!$B$1:$E$1,0))</x:f>
        <x:v>0.05</x:v>
      </x:c>
    </x:row>
    <x:row r="4">
      <x:c r="A4" s="8" t="str">
        <x:v>P003</x:v>
      </x:c>
      <x:c r="B4" s="70" t="n">
        <x:v>0.06</x:v>
      </x:c>
      <x:c r="C4" s="70" t="n">
        <x:v>0.05</x:v>
      </x:c>
      <x:c r="D4" s="70" t="n">
        <x:v>0.04</x:v>
      </x:c>
      <x:c r="E4" s="70" t="n">
        <x:v>0.08</x:v>
      </x:c>
    </x:row>
    <x:row r="5">
      <x:c r="A5" s="8" t="str">
        <x:v>P004</x:v>
      </x:c>
      <x:c r="B5" s="70" t="n">
        <x:v>0.11</x:v>
      </x:c>
      <x:c r="C5" s="70" t="n">
        <x:v>0.09</x:v>
      </x:c>
      <x:c r="D5" s="70" t="n">
        <x:v>0.08</x:v>
      </x:c>
      <x:c r="E5" s="70" t="n">
        <x:v>0.05</x:v>
      </x:c>
    </x:row>
    <x:row r="6">
      <x:c r="A6" s="8" t="str">
        <x:v>P005</x:v>
      </x:c>
      <x:c r="B6" s="70" t="n">
        <x:v>0.06</x:v>
      </x:c>
      <x:c r="C6" s="70" t="n">
        <x:v>0.03</x:v>
      </x:c>
      <x:c r="D6" s="70" t="n">
        <x:v>0.09</x:v>
      </x:c>
      <x:c r="E6" s="70" t="n">
        <x:v>0.05</x:v>
      </x:c>
    </x:row>
    <x:row r="7">
      <x:c r="A7" s="8" t="str">
        <x:v>P006</x:v>
      </x:c>
      <x:c r="B7" s="70" t="n">
        <x:v>0.05</x:v>
      </x:c>
      <x:c r="C7" s="70" t="n">
        <x:v>0.12</x:v>
      </x:c>
      <x:c r="D7" s="70" t="n">
        <x:v>0.05</x:v>
      </x:c>
      <x:c r="E7" s="70" t="n">
        <x:v>0.12</x:v>
      </x:c>
    </x:row>
    <x:row r="8">
      <x:c r="A8" s="8" t="str">
        <x:v>P007</x:v>
      </x:c>
      <x:c r="B8" s="70" t="n">
        <x:v>0.08</x:v>
      </x:c>
      <x:c r="C8" s="70" t="n">
        <x:v>0.1</x:v>
      </x:c>
      <x:c r="D8" s="70" t="n">
        <x:v>0.08</x:v>
      </x:c>
      <x:c r="E8" s="70" t="n">
        <x:v>0.04</x:v>
      </x:c>
    </x:row>
    <x:row r="9">
      <x:c r="A9" s="8" t="str">
        <x:v>P008</x:v>
      </x:c>
      <x:c r="B9" s="70" t="n">
        <x:v>0.09</x:v>
      </x:c>
      <x:c r="C9" s="70" t="n">
        <x:v>0.05</x:v>
      </x:c>
      <x:c r="D9" s="70" t="n">
        <x:v>0.06</x:v>
      </x:c>
      <x:c r="E9" s="70" t="n">
        <x:v>0.03</x:v>
      </x:c>
    </x:row>
  </x:sheetData>
  <x:mergeCells>
    <x:mergeCell ref="G1:H1"/>
  </x:mergeCells>
  <x:pageMargins left="0.7" right="0.7" top="0.75" bottom="0.75" header="0.3" footer="0.3"/>
  <x:tableParts count="1">
    <x:tablePart xmlns:r="http://schemas.openxmlformats.org/officeDocument/2006/relationships" r:id="R25c4f90d7270472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7" hidden="0" customWidth="1"/>
    <x:col min="3" max="3" width="28" hidden="0" customWidth="1"/>
    <x:col min="4" max="4" width="28" hidden="0" customWidth="1"/>
    <x:col min="5" max="5" width="24" hidden="0" customWidth="1"/>
    <x:col min="6" max="6" width="3" hidden="0" customWidth="1"/>
    <x:col min="7" max="7" width="3" hidden="0" customWidth="1"/>
    <x:col min="8" max="8" width="30" hidden="0" customWidth="1"/>
    <x:col min="9" max="9" width="16" hidden="0" customWidth="1"/>
  </x:cols>
  <x:sheetData>
    <x:row r="1" ht="34" customHeight="1">
      <x:c r="A1" s="25" t="str">
        <x:v>Lookup Function Reference Guide</x:v>
      </x:c>
      <x:c r="B1" s="25"/>
      <x:c r="C1" s="25"/>
      <x:c r="D1" s="25"/>
      <x:c r="E1" s="25"/>
      <x:c r="H1" s="15" t="str">
        <x:v>Commission Tiers</x:v>
      </x:c>
      <x:c r="I1" s="16"/>
    </x:row>
    <x:row r="3" ht="30" customHeight="1">
      <x:c r="A3" s="27" t="str">
        <x:v>Function</x:v>
      </x:c>
      <x:c r="B3" s="27" t="str">
        <x:v>Choose it when</x:v>
      </x:c>
      <x:c r="C3" s="27" t="str">
        <x:v>Main advantage</x:v>
      </x:c>
      <x:c r="D3" s="27" t="str">
        <x:v>Main limitation</x:v>
      </x:c>
      <x:c r="E3" s="27" t="str">
        <x:v>Error handling</x:v>
      </x:c>
      <x:c r="H3" s="6" t="str">
        <x:v>Sales Amount From</x:v>
      </x:c>
      <x:c r="I3" s="6" t="str">
        <x:v>Commission %</x:v>
      </x:c>
    </x:row>
    <x:row r="4" ht="58" customHeight="1">
      <x:c r="A4" s="28" t="str">
        <x:v>VLOOKUP</x:v>
      </x:c>
      <x:c r="B4" s="28" t="str">
        <x:v>The lookup key is in the first column and the result is to its right.</x:v>
      </x:c>
      <x:c r="C4" s="28" t="str">
        <x:v>Simple and widely compatible.</x:v>
      </x:c>
      <x:c r="D4" s="28" t="str">
        <x:v>Cannot return a value from a column to the left; exact match requires FALSE.</x:v>
      </x:c>
      <x:c r="E4" s="28" t="str">
        <x:v>Wrap with IFERROR or IFNA.</x:v>
      </x:c>
      <x:c r="H4" s="34" t="n">
        <x:v>0</x:v>
      </x:c>
      <x:c r="I4" s="35" t="n">
        <x:v>0</x:v>
      </x:c>
    </x:row>
    <x:row r="5" ht="58" customHeight="1">
      <x:c r="A5" s="28" t="str">
        <x:v>INDEX-MATCH</x:v>
      </x:c>
      <x:c r="B5" s="28" t="str">
        <x:v>You need a left-lookup, flexible column placement, or compatibility with older Excel.</x:v>
      </x:c>
      <x:c r="C5" s="28" t="str">
        <x:v>Lookup and return ranges can be anywhere.</x:v>
      </x:c>
      <x:c r="D5" s="28" t="str">
        <x:v>Uses two functions and is longer to read.</x:v>
      </x:c>
      <x:c r="E5" s="28" t="str">
        <x:v>Wrap the full formula with IFERROR or IFNA.</x:v>
      </x:c>
      <x:c r="H5" s="34" t="n">
        <x:v>1000</x:v>
      </x:c>
      <x:c r="I5" s="35" t="n">
        <x:v>0.02</x:v>
      </x:c>
    </x:row>
    <x:row r="6" ht="58" customHeight="1">
      <x:c r="A6" s="28" t="str">
        <x:v>XLOOKUP</x:v>
      </x:c>
      <x:c r="B6" s="28" t="str">
        <x:v>Excel 365/2021+ is available and you want the clearest general-purpose lookup.</x:v>
      </x:c>
      <x:c r="C6" s="28" t="str">
        <x:v>Exact match by default, built-in not-found result, and left/right lookup.</x:v>
      </x:c>
      <x:c r="D6" s="28" t="str">
        <x:v>Unavailable in older Excel versions.</x:v>
      </x:c>
      <x:c r="E6" s="28" t="str">
        <x:v>Use its built-in if-not-found argument.</x:v>
      </x:c>
      <x:c r="H6" s="34" t="n">
        <x:v>2500</x:v>
      </x:c>
      <x:c r="I6" s="35" t="n">
        <x:v>0.03</x:v>
      </x:c>
    </x:row>
    <x:row r="7">
      <x:c r="H7" s="34" t="n">
        <x:v>5000</x:v>
      </x:c>
      <x:c r="I7" s="35" t="n">
        <x:v>0.05</x:v>
      </x:c>
    </x:row>
    <x:row r="8">
      <x:c r="H8" s="34" t="n">
        <x:v>10000</x:v>
      </x:c>
      <x:c r="I8" s="35" t="n">
        <x:v>0.07</x:v>
      </x:c>
    </x:row>
    <x:row r="9">
      <x:c r="A9" s="15" t="str">
        <x:v>True Left-Lookup Demonstration</x:v>
      </x:c>
      <x:c r="B9" s="30"/>
      <x:c r="C9" s="16"/>
    </x:row>
    <x:row r="10" ht="30" customHeight="1">
      <x:c r="A10" s="6" t="str">
        <x:v>Product Name</x:v>
      </x:c>
      <x:c r="B10" s="6" t="str">
        <x:v>Product Code(Index Match)</x:v>
      </x:c>
      <x:c r="C10" s="6" t="str">
        <x:v>Product Code (XLookup)</x:v>
      </x:c>
      <x:c r="H10" s="15" t="str">
        <x:v>Bulk-Order Assumption</x:v>
      </x:c>
      <x:c r="I10" s="16"/>
    </x:row>
    <x:row r="11">
      <x:c r="A11" s="17" t="str">
        <x:v>Water Bottle</x:v>
      </x:c>
      <x:c r="B11" s="31" t="str">
        <x:f>INDEX('Inventory'!$A$2:$A$21,MATCH(A11,'Inventory'!$B$2:$B$21,0))</x:f>
        <x:v>P018</x:v>
      </x:c>
      <x:c r="C11" s="31" t="str">
        <x:f>XLOOKUP(A11,'Inventory'!$B$2:$B$21,'Inventory'!$A$2:$A$21)</x:f>
        <x:v>P018</x:v>
      </x:c>
      <x:c r="H11" s="36" t="str">
        <x:v>Additional discount when Qty &gt; 5</x:v>
      </x:c>
      <x:c r="I11" s="39" t="n">
        <x:v>0.02</x:v>
      </x:c>
    </x:row>
    <x:row r="12">
      <x:c r="A12" s="17" t="str">
        <x:v>Cricket Bat</x:v>
      </x:c>
      <x:c r="B12" s="31" t="str">
        <x:f>INDEX('Inventory'!$A$2:$A$21,MATCH(A12,'Inventory'!$B$2:$B$21,0))</x:f>
        <x:v>P013</x:v>
      </x:c>
      <x:c r="C12" s="31" t="str">
        <x:f>XLOOKUP(A12,'Inventory'!$B$2:$B$21,'Inventory'!$A$2:$A$21)</x:f>
        <x:v>P013</x:v>
      </x:c>
    </x:row>
    <x:row r="15" ht="42" customHeight="1">
      <x:c r="A15" s="59" t="str">
        <x:v>Exact-match warning: omitting FALSE makes VLOOKUP use approximate match, which can silently return a nearby key unless the first column is sorted ascending.</x:v>
      </x:c>
      <x:c r="B15" s="60"/>
      <x:c r="C15" s="60"/>
      <x:c r="D15" s="60"/>
      <x:c r="E15" s="61"/>
    </x:row>
    <x:row r="16" ht="42" customHeight="1">
      <x:c r="A16" s="62" t="str">
        <x:v>Left-lookup note: VLOOKUP cannot return Product Code from Product Name because Product Code is to the left of Product Name in Inventory.</x:v>
      </x:c>
      <x:c r="B16" s="63"/>
      <x:c r="C16" s="63"/>
      <x:c r="D16" s="63"/>
      <x:c r="E16" s="64"/>
    </x:row>
    <x:row r="17" ht="42" customHeight="1">
      <x:c r="A17" s="65" t="str">
        <x:v>Approximate-match note: commission breakpoints are intentionally sorted ascending, so TRUE returns the tier at or immediately below the sales amount.</x:v>
      </x:c>
      <x:c r="B17" s="66"/>
      <x:c r="C17" s="66"/>
      <x:c r="D17" s="66"/>
      <x:c r="E17" s="67"/>
    </x:row>
  </x:sheetData>
  <x:mergeCells>
    <x:mergeCell ref="A1:E1"/>
    <x:mergeCell ref="A9:C9"/>
    <x:mergeCell ref="H1:I1"/>
    <x:mergeCell ref="H10:I10"/>
    <x:mergeCell ref="A15:E15"/>
    <x:mergeCell ref="A16:E16"/>
    <x:mergeCell ref="A17:E17"/>
  </x:mergeCells>
  <x:pageMargins left="0.7" right="0.7" top="0.75" bottom="0.75" header="0.3" footer="0.3"/>
</x:worksheet>
</file>