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sohamsahay/Downloads/"/>
    </mc:Choice>
  </mc:AlternateContent>
  <xr:revisionPtr revIDLastSave="0" documentId="8_{7D439582-0748-6A4F-AE73-7F8CCA228C2C}" xr6:coauthVersionLast="47" xr6:coauthVersionMax="47" xr10:uidLastSave="{00000000-0000-0000-0000-000000000000}"/>
  <bookViews>
    <workbookView xWindow="0" yWindow="660" windowWidth="29400" windowHeight="17180" activeTab="5" xr2:uid="{00000000-000D-0000-FFFF-FFFF00000000}"/>
  </bookViews>
  <sheets>
    <sheet name="Inventory" sheetId="1" r:id="rId1"/>
    <sheet name="Sales" sheetId="2" r:id="rId2"/>
    <sheet name="QuarterlyTargets" sheetId="3" r:id="rId3"/>
    <sheet name="Markup" sheetId="4" r:id="rId4"/>
    <sheet name="LookupTests" sheetId="5" r:id="rId5"/>
    <sheet name="Lookup Reference Guide" sheetId="6" r:id="rId6"/>
  </sheets>
  <definedNames>
    <definedName name="_xlnm._FilterDatabase" localSheetId="0" hidden="1">Inventory!$A$1:$G$21</definedName>
    <definedName name="_xlnm._FilterDatabase" localSheetId="5" hidden="1">'Lookup Reference Guide'!$A$1:$B$7</definedName>
    <definedName name="_xlnm._FilterDatabase" localSheetId="4" hidden="1">LookupTests!$A$1:$D$31</definedName>
    <definedName name="_xlnm._FilterDatabase" localSheetId="3" hidden="1">Markup!$A$1:$E$9</definedName>
    <definedName name="_xlnm._FilterDatabase" localSheetId="2" hidden="1">QuarterlyTargets!$A$1:$E$5</definedName>
    <definedName name="_xlnm._FilterDatabase" localSheetId="1" hidden="1">Sales!$A$1:$N$31</definedName>
  </definedNames>
  <calcPr calcId="191029" forceFullCalc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" i="5" l="1"/>
  <c r="B28" i="5"/>
  <c r="B27" i="5"/>
  <c r="C24" i="5"/>
  <c r="D17" i="5"/>
  <c r="D16" i="5"/>
  <c r="D15" i="5"/>
  <c r="C15" i="5"/>
  <c r="D14" i="5"/>
  <c r="C14" i="5"/>
  <c r="D13" i="5"/>
  <c r="C13" i="5"/>
  <c r="D12" i="5"/>
  <c r="C12" i="5"/>
  <c r="C9" i="5"/>
  <c r="C8" i="5"/>
  <c r="C7" i="5"/>
  <c r="C6" i="5"/>
  <c r="C5" i="5"/>
  <c r="C4" i="5"/>
  <c r="C3" i="5"/>
  <c r="C2" i="5"/>
  <c r="N31" i="2"/>
  <c r="M31" i="2"/>
  <c r="L31" i="2"/>
  <c r="K31" i="2"/>
  <c r="J31" i="2"/>
  <c r="I31" i="2"/>
  <c r="H31" i="2"/>
  <c r="G31" i="2"/>
  <c r="F31" i="2"/>
  <c r="N30" i="2"/>
  <c r="M30" i="2"/>
  <c r="L30" i="2"/>
  <c r="K30" i="2"/>
  <c r="I30" i="2"/>
  <c r="H30" i="2"/>
  <c r="G30" i="2"/>
  <c r="F30" i="2"/>
  <c r="J30" i="2" s="1"/>
  <c r="N29" i="2"/>
  <c r="M29" i="2"/>
  <c r="L29" i="2"/>
  <c r="K29" i="2"/>
  <c r="I29" i="2"/>
  <c r="H29" i="2"/>
  <c r="G29" i="2"/>
  <c r="F29" i="2"/>
  <c r="J29" i="2" s="1"/>
  <c r="N28" i="2"/>
  <c r="M28" i="2"/>
  <c r="L28" i="2"/>
  <c r="K28" i="2"/>
  <c r="I28" i="2"/>
  <c r="H28" i="2"/>
  <c r="G28" i="2"/>
  <c r="F28" i="2"/>
  <c r="J28" i="2" s="1"/>
  <c r="N27" i="2"/>
  <c r="M27" i="2"/>
  <c r="L27" i="2"/>
  <c r="K27" i="2"/>
  <c r="I27" i="2"/>
  <c r="H27" i="2"/>
  <c r="G27" i="2"/>
  <c r="F27" i="2"/>
  <c r="J27" i="2" s="1"/>
  <c r="N26" i="2"/>
  <c r="M26" i="2"/>
  <c r="L26" i="2"/>
  <c r="K26" i="2"/>
  <c r="J26" i="2"/>
  <c r="I26" i="2"/>
  <c r="H26" i="2"/>
  <c r="G26" i="2"/>
  <c r="F26" i="2"/>
  <c r="N25" i="2"/>
  <c r="M25" i="2"/>
  <c r="L25" i="2"/>
  <c r="K25" i="2"/>
  <c r="J25" i="2"/>
  <c r="I25" i="2"/>
  <c r="H25" i="2"/>
  <c r="G25" i="2"/>
  <c r="F25" i="2"/>
  <c r="N24" i="2"/>
  <c r="M24" i="2"/>
  <c r="L24" i="2"/>
  <c r="K24" i="2"/>
  <c r="I24" i="2"/>
  <c r="H24" i="2"/>
  <c r="G24" i="2"/>
  <c r="F24" i="2"/>
  <c r="J24" i="2" s="1"/>
  <c r="N23" i="2"/>
  <c r="M23" i="2"/>
  <c r="L23" i="2"/>
  <c r="K23" i="2"/>
  <c r="I23" i="2"/>
  <c r="H23" i="2"/>
  <c r="G23" i="2"/>
  <c r="F23" i="2"/>
  <c r="J23" i="2" s="1"/>
  <c r="N22" i="2"/>
  <c r="M22" i="2"/>
  <c r="L22" i="2"/>
  <c r="K22" i="2"/>
  <c r="I22" i="2"/>
  <c r="H22" i="2"/>
  <c r="G22" i="2"/>
  <c r="F22" i="2"/>
  <c r="J22" i="2" s="1"/>
  <c r="N21" i="2"/>
  <c r="M21" i="2"/>
  <c r="L21" i="2"/>
  <c r="K21" i="2"/>
  <c r="I21" i="2"/>
  <c r="H21" i="2"/>
  <c r="G21" i="2"/>
  <c r="F21" i="2"/>
  <c r="J21" i="2" s="1"/>
  <c r="N20" i="2"/>
  <c r="M20" i="2"/>
  <c r="L20" i="2"/>
  <c r="K20" i="2"/>
  <c r="I20" i="2"/>
  <c r="H20" i="2"/>
  <c r="G20" i="2"/>
  <c r="F20" i="2"/>
  <c r="J20" i="2" s="1"/>
  <c r="N19" i="2"/>
  <c r="M19" i="2"/>
  <c r="L19" i="2"/>
  <c r="K19" i="2"/>
  <c r="I19" i="2"/>
  <c r="H19" i="2"/>
  <c r="G19" i="2"/>
  <c r="F19" i="2"/>
  <c r="J19" i="2" s="1"/>
  <c r="N18" i="2"/>
  <c r="M18" i="2"/>
  <c r="L18" i="2"/>
  <c r="K18" i="2"/>
  <c r="I18" i="2"/>
  <c r="H18" i="2"/>
  <c r="G18" i="2"/>
  <c r="F18" i="2"/>
  <c r="J18" i="2" s="1"/>
  <c r="N17" i="2"/>
  <c r="M17" i="2"/>
  <c r="L17" i="2"/>
  <c r="K17" i="2"/>
  <c r="I17" i="2"/>
  <c r="H17" i="2"/>
  <c r="G17" i="2"/>
  <c r="F17" i="2"/>
  <c r="J17" i="2" s="1"/>
  <c r="N16" i="2"/>
  <c r="M16" i="2"/>
  <c r="L16" i="2"/>
  <c r="K16" i="2"/>
  <c r="I16" i="2"/>
  <c r="H16" i="2"/>
  <c r="G16" i="2"/>
  <c r="F16" i="2"/>
  <c r="J16" i="2" s="1"/>
  <c r="N15" i="2"/>
  <c r="M15" i="2"/>
  <c r="L15" i="2"/>
  <c r="K15" i="2"/>
  <c r="I15" i="2"/>
  <c r="H15" i="2"/>
  <c r="G15" i="2"/>
  <c r="F15" i="2"/>
  <c r="J15" i="2" s="1"/>
  <c r="N14" i="2"/>
  <c r="M14" i="2"/>
  <c r="L14" i="2"/>
  <c r="K14" i="2"/>
  <c r="I14" i="2"/>
  <c r="H14" i="2"/>
  <c r="G14" i="2"/>
  <c r="F14" i="2"/>
  <c r="J14" i="2" s="1"/>
  <c r="N13" i="2"/>
  <c r="M13" i="2"/>
  <c r="L13" i="2"/>
  <c r="K13" i="2"/>
  <c r="I13" i="2"/>
  <c r="H13" i="2"/>
  <c r="G13" i="2"/>
  <c r="F13" i="2"/>
  <c r="J13" i="2" s="1"/>
  <c r="N12" i="2"/>
  <c r="M12" i="2"/>
  <c r="L12" i="2"/>
  <c r="K12" i="2"/>
  <c r="J12" i="2"/>
  <c r="I12" i="2"/>
  <c r="H12" i="2"/>
  <c r="G12" i="2"/>
  <c r="F12" i="2"/>
  <c r="N11" i="2"/>
  <c r="M11" i="2"/>
  <c r="L11" i="2"/>
  <c r="K11" i="2"/>
  <c r="J11" i="2"/>
  <c r="I11" i="2"/>
  <c r="H11" i="2"/>
  <c r="G11" i="2"/>
  <c r="F11" i="2"/>
  <c r="N10" i="2"/>
  <c r="M10" i="2"/>
  <c r="L10" i="2"/>
  <c r="K10" i="2"/>
  <c r="J10" i="2"/>
  <c r="I10" i="2"/>
  <c r="H10" i="2"/>
  <c r="G10" i="2"/>
  <c r="F10" i="2"/>
  <c r="N9" i="2"/>
  <c r="M9" i="2"/>
  <c r="L9" i="2"/>
  <c r="K9" i="2"/>
  <c r="I9" i="2"/>
  <c r="H9" i="2"/>
  <c r="G9" i="2"/>
  <c r="F9" i="2"/>
  <c r="J9" i="2" s="1"/>
  <c r="N8" i="2"/>
  <c r="M8" i="2"/>
  <c r="L8" i="2"/>
  <c r="K8" i="2"/>
  <c r="I8" i="2"/>
  <c r="H8" i="2"/>
  <c r="G8" i="2"/>
  <c r="F8" i="2"/>
  <c r="J8" i="2" s="1"/>
  <c r="N7" i="2"/>
  <c r="M7" i="2"/>
  <c r="L7" i="2"/>
  <c r="K7" i="2"/>
  <c r="I7" i="2"/>
  <c r="H7" i="2"/>
  <c r="G7" i="2"/>
  <c r="F7" i="2"/>
  <c r="J7" i="2" s="1"/>
  <c r="N6" i="2"/>
  <c r="M6" i="2"/>
  <c r="L6" i="2"/>
  <c r="K6" i="2"/>
  <c r="J6" i="2"/>
  <c r="I6" i="2"/>
  <c r="H6" i="2"/>
  <c r="G6" i="2"/>
  <c r="F6" i="2"/>
  <c r="N5" i="2"/>
  <c r="M5" i="2"/>
  <c r="L5" i="2"/>
  <c r="K5" i="2"/>
  <c r="J5" i="2"/>
  <c r="I5" i="2"/>
  <c r="H5" i="2"/>
  <c r="G5" i="2"/>
  <c r="F5" i="2"/>
  <c r="N4" i="2"/>
  <c r="M4" i="2"/>
  <c r="L4" i="2"/>
  <c r="K4" i="2"/>
  <c r="I4" i="2"/>
  <c r="H4" i="2"/>
  <c r="B29" i="5" s="1"/>
  <c r="G4" i="2"/>
  <c r="F4" i="2"/>
  <c r="J4" i="2" s="1"/>
  <c r="N3" i="2"/>
  <c r="M3" i="2"/>
  <c r="L3" i="2"/>
  <c r="K3" i="2"/>
  <c r="I3" i="2"/>
  <c r="H3" i="2"/>
  <c r="G3" i="2"/>
  <c r="F3" i="2"/>
  <c r="J3" i="2" s="1"/>
  <c r="N2" i="2"/>
  <c r="M2" i="2"/>
  <c r="L2" i="2"/>
  <c r="K2" i="2"/>
  <c r="I2" i="2"/>
  <c r="H2" i="2"/>
  <c r="G2" i="2"/>
  <c r="F2" i="2"/>
  <c r="J2" i="2" s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<sst xmlns="http://schemas.openxmlformats.org/spreadsheetml/2006/main" count="296" uniqueCount="171">
  <si>
    <t>Product Code</t>
  </si>
  <si>
    <t>Product Name</t>
  </si>
  <si>
    <t>Category</t>
  </si>
  <si>
    <t>Unit Price</t>
  </si>
  <si>
    <t>Stock Qty</t>
  </si>
  <si>
    <t>Reorder Level</t>
  </si>
  <si>
    <t>Stock Gap (Stock - Reorder)</t>
  </si>
  <si>
    <t>P001</t>
  </si>
  <si>
    <t>Wireless Mouse</t>
  </si>
  <si>
    <t>Electronics</t>
  </si>
  <si>
    <t>P002</t>
  </si>
  <si>
    <t>USB Cable</t>
  </si>
  <si>
    <t>P003</t>
  </si>
  <si>
    <t>Bluetooth Speaker</t>
  </si>
  <si>
    <t>P004</t>
  </si>
  <si>
    <t>Notebook Pack</t>
  </si>
  <si>
    <t>Stationery</t>
  </si>
  <si>
    <t>P005</t>
  </si>
  <si>
    <t>Gel Pen Set</t>
  </si>
  <si>
    <t>P006</t>
  </si>
  <si>
    <t>Sketch Book</t>
  </si>
  <si>
    <t>P007</t>
  </si>
  <si>
    <t>Face Wash</t>
  </si>
  <si>
    <t>Beauty</t>
  </si>
  <si>
    <t>P008</t>
  </si>
  <si>
    <t>Moisturizer</t>
  </si>
  <si>
    <t>P009</t>
  </si>
  <si>
    <t>Lipstick</t>
  </si>
  <si>
    <t>P010</t>
  </si>
  <si>
    <t>Cotton T-Shirt</t>
  </si>
  <si>
    <t>Apparel</t>
  </si>
  <si>
    <t>P011</t>
  </si>
  <si>
    <t>Denim Jeans</t>
  </si>
  <si>
    <t>P012</t>
  </si>
  <si>
    <t>Running Shoes</t>
  </si>
  <si>
    <t>Sports</t>
  </si>
  <si>
    <t>P013</t>
  </si>
  <si>
    <t>Cricket Bat</t>
  </si>
  <si>
    <t>P014</t>
  </si>
  <si>
    <t>Yoga Mat</t>
  </si>
  <si>
    <t>P015</t>
  </si>
  <si>
    <t>Desk Lamp</t>
  </si>
  <si>
    <t>Home &amp; Kitchen</t>
  </si>
  <si>
    <t>P016</t>
  </si>
  <si>
    <t>Non-Stick Pan</t>
  </si>
  <si>
    <t>P017</t>
  </si>
  <si>
    <t>Bluetooth Earbuds</t>
  </si>
  <si>
    <t>P018</t>
  </si>
  <si>
    <t>Water Bottle</t>
  </si>
  <si>
    <t>P019</t>
  </si>
  <si>
    <t>Table Lamp</t>
  </si>
  <si>
    <t>P020</t>
  </si>
  <si>
    <t>Hair Dryer</t>
  </si>
  <si>
    <t>Transaction ID</t>
  </si>
  <si>
    <t>Date</t>
  </si>
  <si>
    <t>Qty</t>
  </si>
  <si>
    <t>Region</t>
  </si>
  <si>
    <t>Product Name (VLOOKUP)</t>
  </si>
  <si>
    <t>Category (VLOOKUP)</t>
  </si>
  <si>
    <t>Lookup Status</t>
  </si>
  <si>
    <t>Product Name (Index-Match)</t>
  </si>
  <si>
    <t>Product Code (Index Match)</t>
  </si>
  <si>
    <t>Product Name (XLookup)</t>
  </si>
  <si>
    <t>Product Code (XLookup)</t>
  </si>
  <si>
    <t>Markup %</t>
  </si>
  <si>
    <t>Bulk Adjusted Markup %</t>
  </si>
  <si>
    <t>TXN014</t>
  </si>
  <si>
    <t>02-06-2026</t>
  </si>
  <si>
    <t>North</t>
  </si>
  <si>
    <t>TXN027</t>
  </si>
  <si>
    <t>17-07-2026</t>
  </si>
  <si>
    <t>East</t>
  </si>
  <si>
    <t>TXN003</t>
  </si>
  <si>
    <t>28-07-2026</t>
  </si>
  <si>
    <t>South</t>
  </si>
  <si>
    <t>TXN021</t>
  </si>
  <si>
    <t>06-07-2026</t>
  </si>
  <si>
    <t>West</t>
  </si>
  <si>
    <t>TXN020</t>
  </si>
  <si>
    <t>25-07-2026</t>
  </si>
  <si>
    <t>TXN022</t>
  </si>
  <si>
    <t>TXN012</t>
  </si>
  <si>
    <t>03-07-2026</t>
  </si>
  <si>
    <t>TXN010</t>
  </si>
  <si>
    <t>31-07-2026</t>
  </si>
  <si>
    <t>TXN026</t>
  </si>
  <si>
    <t>22-06-2026</t>
  </si>
  <si>
    <t>TXN018</t>
  </si>
  <si>
    <t>TXN015</t>
  </si>
  <si>
    <t>12-06-2026</t>
  </si>
  <si>
    <t>TXN029</t>
  </si>
  <si>
    <t>P099</t>
  </si>
  <si>
    <t>TXN030</t>
  </si>
  <si>
    <t>30-07-2026</t>
  </si>
  <si>
    <t>P077</t>
  </si>
  <si>
    <t>TXN001</t>
  </si>
  <si>
    <t>20-06-2026</t>
  </si>
  <si>
    <t>TXN028</t>
  </si>
  <si>
    <t>06-06-2026</t>
  </si>
  <si>
    <t>P098</t>
  </si>
  <si>
    <t>TXN008</t>
  </si>
  <si>
    <t>10-06-2026</t>
  </si>
  <si>
    <t>TXN005</t>
  </si>
  <si>
    <t>11-07-2026</t>
  </si>
  <si>
    <t>TXN019</t>
  </si>
  <si>
    <t>29-06-2026</t>
  </si>
  <si>
    <t>TXN004</t>
  </si>
  <si>
    <t>TXN023</t>
  </si>
  <si>
    <t>08-07-2026</t>
  </si>
  <si>
    <t>TXN024</t>
  </si>
  <si>
    <t>24-06-2026</t>
  </si>
  <si>
    <t>TXN011</t>
  </si>
  <si>
    <t>TXN017</t>
  </si>
  <si>
    <t>16-07-2026</t>
  </si>
  <si>
    <t>TXN007</t>
  </si>
  <si>
    <t>09-07-2026</t>
  </si>
  <si>
    <t>TXN016</t>
  </si>
  <si>
    <t>18-07-2026</t>
  </si>
  <si>
    <t>TXN013</t>
  </si>
  <si>
    <t>25-06-2026</t>
  </si>
  <si>
    <t>TXN006</t>
  </si>
  <si>
    <t>09-06-2026</t>
  </si>
  <si>
    <t>TXN002</t>
  </si>
  <si>
    <t>15-06-2026</t>
  </si>
  <si>
    <t>TXN025</t>
  </si>
  <si>
    <t>14-07-2026</t>
  </si>
  <si>
    <t>TXN009</t>
  </si>
  <si>
    <t>21-07-2026</t>
  </si>
  <si>
    <t>Q1 Target</t>
  </si>
  <si>
    <t>Q2 Target</t>
  </si>
  <si>
    <t>Q3 Target</t>
  </si>
  <si>
    <t>Q4 Target</t>
  </si>
  <si>
    <t>Lookup Test</t>
  </si>
  <si>
    <t>Input</t>
  </si>
  <si>
    <t>Formula / Method</t>
  </si>
  <si>
    <t>Expected Result</t>
  </si>
  <si>
    <t>VLOOKUP Product Name</t>
  </si>
  <si>
    <t>VLOOKUP Category</t>
  </si>
  <si>
    <t>VLOOKUP + IFERROR</t>
  </si>
  <si>
    <t>Product Not Found</t>
  </si>
  <si>
    <t>INDEX-MATCH left lookup</t>
  </si>
  <si>
    <t>XLOOKUP left lookup</t>
  </si>
  <si>
    <t>HLOOKUP Test</t>
  </si>
  <si>
    <t>HLOOKUP</t>
  </si>
  <si>
    <t>Two-Way Lookup</t>
  </si>
  <si>
    <t>Challenge: Commission Tier</t>
  </si>
  <si>
    <t>Sales Amount</t>
  </si>
  <si>
    <t>Commission %</t>
  </si>
  <si>
    <t>Example Sales Amount</t>
  </si>
  <si>
    <t>Data Quality Check</t>
  </si>
  <si>
    <t>Result</t>
  </si>
  <si>
    <t>Low-stock products (Stock Qty &lt; Reorder Level)</t>
  </si>
  <si>
    <t>Expected: 5</t>
  </si>
  <si>
    <t>High-value products (Unit Price &gt; 1000)</t>
  </si>
  <si>
    <t>Expected: 6</t>
  </si>
  <si>
    <t>Sales rows with "Review"</t>
  </si>
  <si>
    <t>Expected: 3</t>
  </si>
  <si>
    <t>Exact-match warning test</t>
  </si>
  <si>
    <t>Compare with FALSE-based lookup; TRUE/omitted is approximate match.</t>
  </si>
  <si>
    <t>Function</t>
  </si>
  <si>
    <t>When to choose it</t>
  </si>
  <si>
    <t>VLOOKUP</t>
  </si>
  <si>
    <t>Use when the lookup key is in the leftmost column of the table and you want to return a value from a column to its right. Use FALSE for an exact match when the key must match exactly.</t>
  </si>
  <si>
    <t>INDEX-MATCH</t>
  </si>
  <si>
    <t>Use when you need more structural flexibility, especially when the return column is to the left of the lookup column. MATCH finds the position and INDEX returns the value.</t>
  </si>
  <si>
    <t>XLOOKUP</t>
  </si>
  <si>
    <t>Use when available for a modern, flexible lookup. It can search in either direction and has a built-in not-found argument, so it can replace many VLOOKUP+IFERROR and INDEX-MATCH cases.</t>
  </si>
  <si>
    <t>VLOOKUP exact-match warning</t>
  </si>
  <si>
    <t>Leaving the 4th argument out (or using TRUE) requests approximate matching. For an exact product-code lookup, that can silently return the closest lower match unless the lookup column is appropriately sorted.</t>
  </si>
  <si>
    <t>Approximate-match challenge</t>
  </si>
  <si>
    <t>TRUE is appropriate when the first column contains ascending breakpoints, such as commission tiers, and the intended result is the tier containing the lookup amount.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</si>
</sst>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"/>
    <numFmt numFmtId="165" formatCode="\₹#,##0.00"/>
    <numFmt numFmtId="166" formatCode="\₹#,##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0" xfId="0" applyFont="1" applyFill="1"/>
    <xf numFmtId="165" fontId="0" fillId="0" borderId="0" xfId="0" applyNumberFormat="1"/>
    <xf numFmtId="0" fontId="1" fillId="2" borderId="1" xfId="0" applyFont="1" applyFill="1" applyBorder="1" applyAlignment="1">
      <alignment horizontal="center" wrapText="1"/>
    </xf>
    <xf numFmtId="164" fontId="0" fillId="0" borderId="0" xfId="0" applyNumberFormat="1"/>
    <xf numFmtId="1" fontId="0" fillId="0" borderId="0" xfId="0" applyNumberFormat="1"/>
    <xf numFmtId="9" fontId="0" fillId="0" borderId="0" xfId="0" applyNumberFormat="1"/>
    <xf numFmtId="166" fontId="0" fillId="0" borderId="0" xfId="0" applyNumberFormat="1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9" fontId="0" fillId="0" borderId="0" xfId="0" applyNumberFormat="1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2">
    <dxf>
      <fill>
        <patternFill patternType="solid">
          <fgColor rgb="FFFFF2CC"/>
        </patternFill>
      </fill>
    </dxf>
    <dxf>
      <fill>
        <patternFill patternType="solid">
          <fgColor rgb="FFF4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19" customWidth="1"/>
    <col min="3" max="3" width="16" customWidth="1"/>
    <col min="4" max="5" width="12" customWidth="1"/>
    <col min="6" max="6" width="15" customWidth="1"/>
    <col min="7" max="7" width="28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x14ac:dyDescent="0.2">
      <c r="A2" t="s">
        <v>7</v>
      </c>
      <c r="B2" t="s">
        <v>8</v>
      </c>
      <c r="C2" t="s">
        <v>9</v>
      </c>
      <c r="D2" s="3">
        <v>499</v>
      </c>
      <c r="E2">
        <v>120</v>
      </c>
      <c r="F2">
        <v>30</v>
      </c>
      <c r="G2">
        <f t="shared" ref="G2:G21" si="0">E2-F2</f>
        <v>90</v>
      </c>
    </row>
    <row r="3" spans="1:7" x14ac:dyDescent="0.2">
      <c r="A3" t="s">
        <v>10</v>
      </c>
      <c r="B3" t="s">
        <v>11</v>
      </c>
      <c r="C3" t="s">
        <v>9</v>
      </c>
      <c r="D3" s="3">
        <v>149</v>
      </c>
      <c r="E3">
        <v>500</v>
      </c>
      <c r="F3">
        <v>100</v>
      </c>
      <c r="G3">
        <f t="shared" si="0"/>
        <v>400</v>
      </c>
    </row>
    <row r="4" spans="1:7" x14ac:dyDescent="0.2">
      <c r="A4" t="s">
        <v>12</v>
      </c>
      <c r="B4" t="s">
        <v>13</v>
      </c>
      <c r="C4" t="s">
        <v>9</v>
      </c>
      <c r="D4" s="3">
        <v>1499</v>
      </c>
      <c r="E4">
        <v>40</v>
      </c>
      <c r="F4">
        <v>25</v>
      </c>
      <c r="G4">
        <f t="shared" si="0"/>
        <v>15</v>
      </c>
    </row>
    <row r="5" spans="1:7" x14ac:dyDescent="0.2">
      <c r="A5" t="s">
        <v>14</v>
      </c>
      <c r="B5" t="s">
        <v>15</v>
      </c>
      <c r="C5" t="s">
        <v>16</v>
      </c>
      <c r="D5" s="3">
        <v>120</v>
      </c>
      <c r="E5">
        <v>300</v>
      </c>
      <c r="F5">
        <v>50</v>
      </c>
      <c r="G5">
        <f t="shared" si="0"/>
        <v>250</v>
      </c>
    </row>
    <row r="6" spans="1:7" x14ac:dyDescent="0.2">
      <c r="A6" t="s">
        <v>17</v>
      </c>
      <c r="B6" t="s">
        <v>18</v>
      </c>
      <c r="C6" t="s">
        <v>16</v>
      </c>
      <c r="D6" s="3">
        <v>90</v>
      </c>
      <c r="E6">
        <v>8</v>
      </c>
      <c r="F6">
        <v>40</v>
      </c>
      <c r="G6">
        <f t="shared" si="0"/>
        <v>-32</v>
      </c>
    </row>
    <row r="7" spans="1:7" x14ac:dyDescent="0.2">
      <c r="A7" t="s">
        <v>19</v>
      </c>
      <c r="B7" t="s">
        <v>20</v>
      </c>
      <c r="C7" t="s">
        <v>16</v>
      </c>
      <c r="D7" s="3">
        <v>150</v>
      </c>
      <c r="E7">
        <v>60</v>
      </c>
      <c r="F7">
        <v>20</v>
      </c>
      <c r="G7">
        <f t="shared" si="0"/>
        <v>40</v>
      </c>
    </row>
    <row r="8" spans="1:7" x14ac:dyDescent="0.2">
      <c r="A8" t="s">
        <v>21</v>
      </c>
      <c r="B8" t="s">
        <v>22</v>
      </c>
      <c r="C8" t="s">
        <v>23</v>
      </c>
      <c r="D8" s="3">
        <v>199</v>
      </c>
      <c r="E8">
        <v>85</v>
      </c>
      <c r="F8">
        <v>30</v>
      </c>
      <c r="G8">
        <f t="shared" si="0"/>
        <v>55</v>
      </c>
    </row>
    <row r="9" spans="1:7" x14ac:dyDescent="0.2">
      <c r="A9" t="s">
        <v>24</v>
      </c>
      <c r="B9" t="s">
        <v>25</v>
      </c>
      <c r="C9" t="s">
        <v>23</v>
      </c>
      <c r="D9" s="3">
        <v>349</v>
      </c>
      <c r="E9">
        <v>15</v>
      </c>
      <c r="F9">
        <v>25</v>
      </c>
      <c r="G9">
        <f t="shared" si="0"/>
        <v>-10</v>
      </c>
    </row>
    <row r="10" spans="1:7" x14ac:dyDescent="0.2">
      <c r="A10" t="s">
        <v>26</v>
      </c>
      <c r="B10" t="s">
        <v>27</v>
      </c>
      <c r="C10" t="s">
        <v>23</v>
      </c>
      <c r="D10" s="3">
        <v>299</v>
      </c>
      <c r="E10">
        <v>55</v>
      </c>
      <c r="F10">
        <v>20</v>
      </c>
      <c r="G10">
        <f t="shared" si="0"/>
        <v>35</v>
      </c>
    </row>
    <row r="11" spans="1:7" x14ac:dyDescent="0.2">
      <c r="A11" t="s">
        <v>28</v>
      </c>
      <c r="B11" t="s">
        <v>29</v>
      </c>
      <c r="C11" t="s">
        <v>30</v>
      </c>
      <c r="D11" s="3">
        <v>599</v>
      </c>
      <c r="E11">
        <v>200</v>
      </c>
      <c r="F11">
        <v>40</v>
      </c>
      <c r="G11">
        <f t="shared" si="0"/>
        <v>160</v>
      </c>
    </row>
    <row r="12" spans="1:7" x14ac:dyDescent="0.2">
      <c r="A12" t="s">
        <v>31</v>
      </c>
      <c r="B12" t="s">
        <v>32</v>
      </c>
      <c r="C12" t="s">
        <v>30</v>
      </c>
      <c r="D12" s="3">
        <v>1299</v>
      </c>
      <c r="E12">
        <v>12</v>
      </c>
      <c r="F12">
        <v>20</v>
      </c>
      <c r="G12">
        <f t="shared" si="0"/>
        <v>-8</v>
      </c>
    </row>
    <row r="13" spans="1:7" x14ac:dyDescent="0.2">
      <c r="A13" t="s">
        <v>33</v>
      </c>
      <c r="B13" t="s">
        <v>34</v>
      </c>
      <c r="C13" t="s">
        <v>35</v>
      </c>
      <c r="D13" s="3">
        <v>1999</v>
      </c>
      <c r="E13">
        <v>30</v>
      </c>
      <c r="F13">
        <v>15</v>
      </c>
      <c r="G13">
        <f t="shared" si="0"/>
        <v>15</v>
      </c>
    </row>
    <row r="14" spans="1:7" x14ac:dyDescent="0.2">
      <c r="A14" t="s">
        <v>36</v>
      </c>
      <c r="B14" t="s">
        <v>37</v>
      </c>
      <c r="C14" t="s">
        <v>35</v>
      </c>
      <c r="D14" s="3">
        <v>1499</v>
      </c>
      <c r="E14">
        <v>18</v>
      </c>
      <c r="F14">
        <v>10</v>
      </c>
      <c r="G14">
        <f t="shared" si="0"/>
        <v>8</v>
      </c>
    </row>
    <row r="15" spans="1:7" x14ac:dyDescent="0.2">
      <c r="A15" t="s">
        <v>38</v>
      </c>
      <c r="B15" t="s">
        <v>39</v>
      </c>
      <c r="C15" t="s">
        <v>35</v>
      </c>
      <c r="D15" s="3">
        <v>699</v>
      </c>
      <c r="E15">
        <v>5</v>
      </c>
      <c r="F15">
        <v>20</v>
      </c>
      <c r="G15">
        <f t="shared" si="0"/>
        <v>-15</v>
      </c>
    </row>
    <row r="16" spans="1:7" x14ac:dyDescent="0.2">
      <c r="A16" t="s">
        <v>40</v>
      </c>
      <c r="B16" t="s">
        <v>41</v>
      </c>
      <c r="C16" t="s">
        <v>42</v>
      </c>
      <c r="D16" s="3">
        <v>899</v>
      </c>
      <c r="E16">
        <v>45</v>
      </c>
      <c r="F16">
        <v>15</v>
      </c>
      <c r="G16">
        <f t="shared" si="0"/>
        <v>30</v>
      </c>
    </row>
    <row r="17" spans="1:7" x14ac:dyDescent="0.2">
      <c r="A17" t="s">
        <v>43</v>
      </c>
      <c r="B17" t="s">
        <v>44</v>
      </c>
      <c r="C17" t="s">
        <v>42</v>
      </c>
      <c r="D17" s="3">
        <v>1199</v>
      </c>
      <c r="E17">
        <v>22</v>
      </c>
      <c r="F17">
        <v>15</v>
      </c>
      <c r="G17">
        <f t="shared" si="0"/>
        <v>7</v>
      </c>
    </row>
    <row r="18" spans="1:7" x14ac:dyDescent="0.2">
      <c r="A18" t="s">
        <v>45</v>
      </c>
      <c r="B18" t="s">
        <v>46</v>
      </c>
      <c r="C18" t="s">
        <v>9</v>
      </c>
      <c r="D18" s="3">
        <v>1799</v>
      </c>
      <c r="E18">
        <v>60</v>
      </c>
      <c r="F18">
        <v>20</v>
      </c>
      <c r="G18">
        <f t="shared" si="0"/>
        <v>40</v>
      </c>
    </row>
    <row r="19" spans="1:7" x14ac:dyDescent="0.2">
      <c r="A19" t="s">
        <v>47</v>
      </c>
      <c r="B19" t="s">
        <v>48</v>
      </c>
      <c r="C19" t="s">
        <v>35</v>
      </c>
      <c r="D19" s="3">
        <v>349</v>
      </c>
      <c r="E19">
        <v>90</v>
      </c>
      <c r="F19">
        <v>30</v>
      </c>
      <c r="G19">
        <f t="shared" si="0"/>
        <v>60</v>
      </c>
    </row>
    <row r="20" spans="1:7" x14ac:dyDescent="0.2">
      <c r="A20" t="s">
        <v>49</v>
      </c>
      <c r="B20" t="s">
        <v>50</v>
      </c>
      <c r="C20" t="s">
        <v>42</v>
      </c>
      <c r="D20" s="3">
        <v>749</v>
      </c>
      <c r="E20">
        <v>8</v>
      </c>
      <c r="F20">
        <v>15</v>
      </c>
      <c r="G20">
        <f t="shared" si="0"/>
        <v>-7</v>
      </c>
    </row>
    <row r="21" spans="1:7" x14ac:dyDescent="0.2">
      <c r="A21" t="s">
        <v>51</v>
      </c>
      <c r="B21" t="s">
        <v>52</v>
      </c>
      <c r="C21" t="s">
        <v>23</v>
      </c>
      <c r="D21" s="3">
        <v>899</v>
      </c>
      <c r="E21">
        <v>25</v>
      </c>
      <c r="F21">
        <v>15</v>
      </c>
      <c r="G21">
        <f t="shared" si="0"/>
        <v>10</v>
      </c>
    </row>
  </sheetData>
  <autoFilter ref="A1:G21" xr:uid="{00000000-0009-0000-0000-000000000000}"/>
  <conditionalFormatting sqref="D2:D2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:E21">
    <cfRule type="dataBar" priority="2">
      <dataBar>
        <cfvo type="min"/>
        <cfvo type="max"/>
        <color rgb="FF5B9BD5"/>
      </dataBar>
    </cfRule>
    <cfRule type="expression" dxfId="1" priority="4">
      <formula>E2&lt;F2</formula>
    </cfRule>
  </conditionalFormatting>
  <conditionalFormatting sqref="G2:G21">
    <cfRule type="iconSet" priority="3">
      <iconSet>
        <cfvo type="num" val="-1"/>
        <cfvo type="num" val="0"/>
        <cfvo type="num" val="20"/>
      </iconSet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6" customWidth="1"/>
    <col min="2" max="2" width="12" customWidth="1"/>
    <col min="3" max="3" width="14" customWidth="1"/>
    <col min="4" max="5" width="12" customWidth="1"/>
    <col min="6" max="14" width="28" customWidth="1"/>
  </cols>
  <sheetData>
    <row r="1" spans="1:14" ht="16" x14ac:dyDescent="0.2">
      <c r="A1" s="1" t="s">
        <v>53</v>
      </c>
      <c r="B1" s="1" t="s">
        <v>54</v>
      </c>
      <c r="C1" s="1" t="s">
        <v>0</v>
      </c>
      <c r="D1" s="1" t="s">
        <v>55</v>
      </c>
      <c r="E1" s="1" t="s">
        <v>56</v>
      </c>
      <c r="F1" s="4" t="s">
        <v>57</v>
      </c>
      <c r="G1" s="4" t="s">
        <v>58</v>
      </c>
      <c r="H1" s="4" t="s">
        <v>59</v>
      </c>
      <c r="I1" s="4" t="s">
        <v>60</v>
      </c>
      <c r="J1" s="4" t="s">
        <v>61</v>
      </c>
      <c r="K1" s="4" t="s">
        <v>62</v>
      </c>
      <c r="L1" s="4" t="s">
        <v>63</v>
      </c>
      <c r="M1" s="4" t="s">
        <v>64</v>
      </c>
      <c r="N1" s="4" t="s">
        <v>65</v>
      </c>
    </row>
    <row r="2" spans="1:14" x14ac:dyDescent="0.2">
      <c r="A2" t="s">
        <v>66</v>
      </c>
      <c r="B2" s="5" t="s">
        <v>67</v>
      </c>
      <c r="C2" t="s">
        <v>47</v>
      </c>
      <c r="D2" s="6">
        <v>2</v>
      </c>
      <c r="E2" t="s">
        <v>68</v>
      </c>
      <c r="F2" t="str">
        <f>IFERROR(VLOOKUP(C2,Inventory!$A$2:$F$21,2,FALSE),"Product Not Found")</f>
        <v>Water Bottle</v>
      </c>
      <c r="G2" t="str">
        <f>IFERROR(VLOOKUP(C2,Inventory!$A$2:$F$21,3,FALSE),"Product Not Found")</f>
        <v>Sports</v>
      </c>
      <c r="H2" t="str">
        <f>IF(ISNA(VLOOKUP(C2,Inventory!$A$2:$F$21,2,FALSE)),"Review","OK")</f>
        <v>OK</v>
      </c>
      <c r="I2" t="str">
        <f>IFERROR(INDEX(Inventory!$B$2:$B$21,MATCH(C2,Inventory!$A$2:$A$21,0)),"Product Not Found")</f>
        <v>Water Bottle</v>
      </c>
      <c r="J2" t="str">
        <f>IFERROR(INDEX(Inventory!$A$2:$A$21,MATCH(F2,Inventory!$B$2:$B$21,0)),"Product Not Found")</f>
        <v>P018</v>
      </c>
      <c r="K2" t="e">
        <f ca="1">_xludf.XLOOKUP(C2,Inventory!$A$2:$A$21,Inventory!$B$2:$B$21,"Product Not Found")</f>
        <v>#NAME?</v>
      </c>
      <c r="L2" t="e">
        <f ca="1">_xludf.XLOOKUP(F2,Inventory!$B$2:$B$21,Inventory!$A$2:$A$21,"Product Not Found")</f>
        <v>#NAME?</v>
      </c>
      <c r="M2" s="7" t="str">
        <f>IFERROR(INDEX(Markup!$B$2:$E$9,MATCH(C2,Markup!$A$2:$A$9,0),MATCH(E2,Markup!$B$1:$E$1,0)),"No Markup Data")</f>
        <v>No Markup Data</v>
      </c>
      <c r="N2" s="7" t="str">
        <f>IFERROR(IF(D2&gt;5,INDEX(Markup!$B$2:$E$9,MATCH(C2,Markup!$A$2:$A$9,0),MATCH(E2,Markup!$B$1:$E$1,0))-2%,INDEX(Markup!$B$2:$E$9,MATCH(C2,Markup!$A$2:$A$9,0),MATCH(E2,Markup!$B$1:$E$1,0))),"No Markup Data")</f>
        <v>No Markup Data</v>
      </c>
    </row>
    <row r="3" spans="1:14" x14ac:dyDescent="0.2">
      <c r="A3" t="s">
        <v>69</v>
      </c>
      <c r="B3" s="5" t="s">
        <v>70</v>
      </c>
      <c r="C3" t="s">
        <v>26</v>
      </c>
      <c r="D3" s="6">
        <v>8</v>
      </c>
      <c r="E3" t="s">
        <v>71</v>
      </c>
      <c r="F3" t="str">
        <f>IFERROR(VLOOKUP(C3,Inventory!$A$2:$F$21,2,FALSE),"Product Not Found")</f>
        <v>Lipstick</v>
      </c>
      <c r="G3" t="str">
        <f>IFERROR(VLOOKUP(C3,Inventory!$A$2:$F$21,3,FALSE),"Product Not Found")</f>
        <v>Beauty</v>
      </c>
      <c r="H3" t="str">
        <f>IF(ISNA(VLOOKUP(C3,Inventory!$A$2:$F$21,2,FALSE)),"Review","OK")</f>
        <v>OK</v>
      </c>
      <c r="I3" t="str">
        <f>IFERROR(INDEX(Inventory!$B$2:$B$21,MATCH(C3,Inventory!$A$2:$A$21,0)),"Product Not Found")</f>
        <v>Lipstick</v>
      </c>
      <c r="J3" t="str">
        <f>IFERROR(INDEX(Inventory!$A$2:$A$21,MATCH(F3,Inventory!$B$2:$B$21,0)),"Product Not Found")</f>
        <v>P009</v>
      </c>
      <c r="K3" t="e">
        <f ca="1">_xludf.XLOOKUP(C3,Inventory!$A$2:$A$21,Inventory!$B$2:$B$21,"Product Not Found")</f>
        <v>#NAME?</v>
      </c>
      <c r="L3" t="e">
        <f ca="1">_xludf.XLOOKUP(F3,Inventory!$B$2:$B$21,Inventory!$A$2:$A$21,"Product Not Found")</f>
        <v>#NAME?</v>
      </c>
      <c r="M3" s="7" t="str">
        <f>IFERROR(INDEX(Markup!$B$2:$E$9,MATCH(C3,Markup!$A$2:$A$9,0),MATCH(E3,Markup!$B$1:$E$1,0)),"No Markup Data")</f>
        <v>No Markup Data</v>
      </c>
      <c r="N3" s="7" t="str">
        <f>IFERROR(IF(D3&gt;5,INDEX(Markup!$B$2:$E$9,MATCH(C3,Markup!$A$2:$A$9,0),MATCH(E3,Markup!$B$1:$E$1,0))-2%,INDEX(Markup!$B$2:$E$9,MATCH(C3,Markup!$A$2:$A$9,0),MATCH(E3,Markup!$B$1:$E$1,0))),"No Markup Data")</f>
        <v>No Markup Data</v>
      </c>
    </row>
    <row r="4" spans="1:14" x14ac:dyDescent="0.2">
      <c r="A4" t="s">
        <v>72</v>
      </c>
      <c r="B4" s="5" t="s">
        <v>73</v>
      </c>
      <c r="C4" t="s">
        <v>10</v>
      </c>
      <c r="D4" s="6">
        <v>2</v>
      </c>
      <c r="E4" t="s">
        <v>74</v>
      </c>
      <c r="F4" t="str">
        <f>IFERROR(VLOOKUP(C4,Inventory!$A$2:$F$21,2,FALSE),"Product Not Found")</f>
        <v>USB Cable</v>
      </c>
      <c r="G4" t="str">
        <f>IFERROR(VLOOKUP(C4,Inventory!$A$2:$F$21,3,FALSE),"Product Not Found")</f>
        <v>Electronics</v>
      </c>
      <c r="H4" t="str">
        <f>IF(ISNA(VLOOKUP(C4,Inventory!$A$2:$F$21,2,FALSE)),"Review","OK")</f>
        <v>OK</v>
      </c>
      <c r="I4" t="str">
        <f>IFERROR(INDEX(Inventory!$B$2:$B$21,MATCH(C4,Inventory!$A$2:$A$21,0)),"Product Not Found")</f>
        <v>USB Cable</v>
      </c>
      <c r="J4" t="str">
        <f>IFERROR(INDEX(Inventory!$A$2:$A$21,MATCH(F4,Inventory!$B$2:$B$21,0)),"Product Not Found")</f>
        <v>P002</v>
      </c>
      <c r="K4" t="e">
        <f ca="1">_xludf.XLOOKUP(C4,Inventory!$A$2:$A$21,Inventory!$B$2:$B$21,"Product Not Found")</f>
        <v>#NAME?</v>
      </c>
      <c r="L4" t="e">
        <f ca="1">_xludf.XLOOKUP(F4,Inventory!$B$2:$B$21,Inventory!$A$2:$A$21,"Product Not Found")</f>
        <v>#NAME?</v>
      </c>
      <c r="M4" s="7">
        <f>IFERROR(INDEX(Markup!$B$2:$E$9,MATCH(C4,Markup!$A$2:$A$9,0),MATCH(E4,Markup!$B$1:$E$1,0)),"No Markup Data")</f>
        <v>0.09</v>
      </c>
      <c r="N4" s="7">
        <f>IFERROR(IF(D4&gt;5,INDEX(Markup!$B$2:$E$9,MATCH(C4,Markup!$A$2:$A$9,0),MATCH(E4,Markup!$B$1:$E$1,0))-2%,INDEX(Markup!$B$2:$E$9,MATCH(C4,Markup!$A$2:$A$9,0),MATCH(E4,Markup!$B$1:$E$1,0))),"No Markup Data")</f>
        <v>0.09</v>
      </c>
    </row>
    <row r="5" spans="1:14" x14ac:dyDescent="0.2">
      <c r="A5" t="s">
        <v>75</v>
      </c>
      <c r="B5" s="5" t="s">
        <v>76</v>
      </c>
      <c r="C5" t="s">
        <v>38</v>
      </c>
      <c r="D5" s="6">
        <v>1</v>
      </c>
      <c r="E5" t="s">
        <v>77</v>
      </c>
      <c r="F5" t="str">
        <f>IFERROR(VLOOKUP(C5,Inventory!$A$2:$F$21,2,FALSE),"Product Not Found")</f>
        <v>Yoga Mat</v>
      </c>
      <c r="G5" t="str">
        <f>IFERROR(VLOOKUP(C5,Inventory!$A$2:$F$21,3,FALSE),"Product Not Found")</f>
        <v>Sports</v>
      </c>
      <c r="H5" t="str">
        <f>IF(ISNA(VLOOKUP(C5,Inventory!$A$2:$F$21,2,FALSE)),"Review","OK")</f>
        <v>OK</v>
      </c>
      <c r="I5" t="str">
        <f>IFERROR(INDEX(Inventory!$B$2:$B$21,MATCH(C5,Inventory!$A$2:$A$21,0)),"Product Not Found")</f>
        <v>Yoga Mat</v>
      </c>
      <c r="J5" t="str">
        <f>IFERROR(INDEX(Inventory!$A$2:$A$21,MATCH(F5,Inventory!$B$2:$B$21,0)),"Product Not Found")</f>
        <v>P014</v>
      </c>
      <c r="K5" t="e">
        <f ca="1">_xludf.XLOOKUP(C5,Inventory!$A$2:$A$21,Inventory!$B$2:$B$21,"Product Not Found")</f>
        <v>#NAME?</v>
      </c>
      <c r="L5" t="e">
        <f ca="1">_xludf.XLOOKUP(F5,Inventory!$B$2:$B$21,Inventory!$A$2:$A$21,"Product Not Found")</f>
        <v>#NAME?</v>
      </c>
      <c r="M5" s="7" t="str">
        <f>IFERROR(INDEX(Markup!$B$2:$E$9,MATCH(C5,Markup!$A$2:$A$9,0),MATCH(E5,Markup!$B$1:$E$1,0)),"No Markup Data")</f>
        <v>No Markup Data</v>
      </c>
      <c r="N5" s="7" t="str">
        <f>IFERROR(IF(D5&gt;5,INDEX(Markup!$B$2:$E$9,MATCH(C5,Markup!$A$2:$A$9,0),MATCH(E5,Markup!$B$1:$E$1,0))-2%,INDEX(Markup!$B$2:$E$9,MATCH(C5,Markup!$A$2:$A$9,0),MATCH(E5,Markup!$B$1:$E$1,0))),"No Markup Data")</f>
        <v>No Markup Data</v>
      </c>
    </row>
    <row r="6" spans="1:14" x14ac:dyDescent="0.2">
      <c r="A6" t="s">
        <v>78</v>
      </c>
      <c r="B6" s="5" t="s">
        <v>79</v>
      </c>
      <c r="C6" t="s">
        <v>24</v>
      </c>
      <c r="D6" s="6">
        <v>7</v>
      </c>
      <c r="E6" t="s">
        <v>68</v>
      </c>
      <c r="F6" t="str">
        <f>IFERROR(VLOOKUP(C6,Inventory!$A$2:$F$21,2,FALSE),"Product Not Found")</f>
        <v>Moisturizer</v>
      </c>
      <c r="G6" t="str">
        <f>IFERROR(VLOOKUP(C6,Inventory!$A$2:$F$21,3,FALSE),"Product Not Found")</f>
        <v>Beauty</v>
      </c>
      <c r="H6" t="str">
        <f>IF(ISNA(VLOOKUP(C6,Inventory!$A$2:$F$21,2,FALSE)),"Review","OK")</f>
        <v>OK</v>
      </c>
      <c r="I6" t="str">
        <f>IFERROR(INDEX(Inventory!$B$2:$B$21,MATCH(C6,Inventory!$A$2:$A$21,0)),"Product Not Found")</f>
        <v>Moisturizer</v>
      </c>
      <c r="J6" t="str">
        <f>IFERROR(INDEX(Inventory!$A$2:$A$21,MATCH(F6,Inventory!$B$2:$B$21,0)),"Product Not Found")</f>
        <v>P008</v>
      </c>
      <c r="K6" t="e">
        <f ca="1">_xludf.XLOOKUP(C6,Inventory!$A$2:$A$21,Inventory!$B$2:$B$21,"Product Not Found")</f>
        <v>#NAME?</v>
      </c>
      <c r="L6" t="e">
        <f ca="1">_xludf.XLOOKUP(F6,Inventory!$B$2:$B$21,Inventory!$A$2:$A$21,"Product Not Found")</f>
        <v>#NAME?</v>
      </c>
      <c r="M6" s="7">
        <f>IFERROR(INDEX(Markup!$B$2:$E$9,MATCH(C6,Markup!$A$2:$A$9,0),MATCH(E6,Markup!$B$1:$E$1,0)),"No Markup Data")</f>
        <v>0.09</v>
      </c>
      <c r="N6" s="7">
        <f>IFERROR(IF(D6&gt;5,INDEX(Markup!$B$2:$E$9,MATCH(C6,Markup!$A$2:$A$9,0),MATCH(E6,Markup!$B$1:$E$1,0))-2%,INDEX(Markup!$B$2:$E$9,MATCH(C6,Markup!$A$2:$A$9,0),MATCH(E6,Markup!$B$1:$E$1,0))),"No Markup Data")</f>
        <v>6.9999999999999993E-2</v>
      </c>
    </row>
    <row r="7" spans="1:14" x14ac:dyDescent="0.2">
      <c r="A7" t="s">
        <v>80</v>
      </c>
      <c r="B7" s="5" t="s">
        <v>67</v>
      </c>
      <c r="C7" t="s">
        <v>38</v>
      </c>
      <c r="D7" s="6">
        <v>2</v>
      </c>
      <c r="E7" t="s">
        <v>68</v>
      </c>
      <c r="F7" t="str">
        <f>IFERROR(VLOOKUP(C7,Inventory!$A$2:$F$21,2,FALSE),"Product Not Found")</f>
        <v>Yoga Mat</v>
      </c>
      <c r="G7" t="str">
        <f>IFERROR(VLOOKUP(C7,Inventory!$A$2:$F$21,3,FALSE),"Product Not Found")</f>
        <v>Sports</v>
      </c>
      <c r="H7" t="str">
        <f>IF(ISNA(VLOOKUP(C7,Inventory!$A$2:$F$21,2,FALSE)),"Review","OK")</f>
        <v>OK</v>
      </c>
      <c r="I7" t="str">
        <f>IFERROR(INDEX(Inventory!$B$2:$B$21,MATCH(C7,Inventory!$A$2:$A$21,0)),"Product Not Found")</f>
        <v>Yoga Mat</v>
      </c>
      <c r="J7" t="str">
        <f>IFERROR(INDEX(Inventory!$A$2:$A$21,MATCH(F7,Inventory!$B$2:$B$21,0)),"Product Not Found")</f>
        <v>P014</v>
      </c>
      <c r="K7" t="e">
        <f ca="1">_xludf.XLOOKUP(C7,Inventory!$A$2:$A$21,Inventory!$B$2:$B$21,"Product Not Found")</f>
        <v>#NAME?</v>
      </c>
      <c r="L7" t="e">
        <f ca="1">_xludf.XLOOKUP(F7,Inventory!$B$2:$B$21,Inventory!$A$2:$A$21,"Product Not Found")</f>
        <v>#NAME?</v>
      </c>
      <c r="M7" s="7" t="str">
        <f>IFERROR(INDEX(Markup!$B$2:$E$9,MATCH(C7,Markup!$A$2:$A$9,0),MATCH(E7,Markup!$B$1:$E$1,0)),"No Markup Data")</f>
        <v>No Markup Data</v>
      </c>
      <c r="N7" s="7" t="str">
        <f>IFERROR(IF(D7&gt;5,INDEX(Markup!$B$2:$E$9,MATCH(C7,Markup!$A$2:$A$9,0),MATCH(E7,Markup!$B$1:$E$1,0))-2%,INDEX(Markup!$B$2:$E$9,MATCH(C7,Markup!$A$2:$A$9,0),MATCH(E7,Markup!$B$1:$E$1,0))),"No Markup Data")</f>
        <v>No Markup Data</v>
      </c>
    </row>
    <row r="8" spans="1:14" x14ac:dyDescent="0.2">
      <c r="A8" t="s">
        <v>81</v>
      </c>
      <c r="B8" s="5" t="s">
        <v>82</v>
      </c>
      <c r="C8" t="s">
        <v>31</v>
      </c>
      <c r="D8" s="6">
        <v>8</v>
      </c>
      <c r="E8" t="s">
        <v>71</v>
      </c>
      <c r="F8" t="str">
        <f>IFERROR(VLOOKUP(C8,Inventory!$A$2:$F$21,2,FALSE),"Product Not Found")</f>
        <v>Denim Jeans</v>
      </c>
      <c r="G8" t="str">
        <f>IFERROR(VLOOKUP(C8,Inventory!$A$2:$F$21,3,FALSE),"Product Not Found")</f>
        <v>Apparel</v>
      </c>
      <c r="H8" t="str">
        <f>IF(ISNA(VLOOKUP(C8,Inventory!$A$2:$F$21,2,FALSE)),"Review","OK")</f>
        <v>OK</v>
      </c>
      <c r="I8" t="str">
        <f>IFERROR(INDEX(Inventory!$B$2:$B$21,MATCH(C8,Inventory!$A$2:$A$21,0)),"Product Not Found")</f>
        <v>Denim Jeans</v>
      </c>
      <c r="J8" t="str">
        <f>IFERROR(INDEX(Inventory!$A$2:$A$21,MATCH(F8,Inventory!$B$2:$B$21,0)),"Product Not Found")</f>
        <v>P011</v>
      </c>
      <c r="K8" t="e">
        <f ca="1">_xludf.XLOOKUP(C8,Inventory!$A$2:$A$21,Inventory!$B$2:$B$21,"Product Not Found")</f>
        <v>#NAME?</v>
      </c>
      <c r="L8" t="e">
        <f ca="1">_xludf.XLOOKUP(F8,Inventory!$B$2:$B$21,Inventory!$A$2:$A$21,"Product Not Found")</f>
        <v>#NAME?</v>
      </c>
      <c r="M8" s="7" t="str">
        <f>IFERROR(INDEX(Markup!$B$2:$E$9,MATCH(C8,Markup!$A$2:$A$9,0),MATCH(E8,Markup!$B$1:$E$1,0)),"No Markup Data")</f>
        <v>No Markup Data</v>
      </c>
      <c r="N8" s="7" t="str">
        <f>IFERROR(IF(D8&gt;5,INDEX(Markup!$B$2:$E$9,MATCH(C8,Markup!$A$2:$A$9,0),MATCH(E8,Markup!$B$1:$E$1,0))-2%,INDEX(Markup!$B$2:$E$9,MATCH(C8,Markup!$A$2:$A$9,0),MATCH(E8,Markup!$B$1:$E$1,0))),"No Markup Data")</f>
        <v>No Markup Data</v>
      </c>
    </row>
    <row r="9" spans="1:14" x14ac:dyDescent="0.2">
      <c r="A9" t="s">
        <v>83</v>
      </c>
      <c r="B9" s="5" t="s">
        <v>84</v>
      </c>
      <c r="C9" t="s">
        <v>24</v>
      </c>
      <c r="D9" s="6">
        <v>3</v>
      </c>
      <c r="E9" t="s">
        <v>71</v>
      </c>
      <c r="F9" t="str">
        <f>IFERROR(VLOOKUP(C9,Inventory!$A$2:$F$21,2,FALSE),"Product Not Found")</f>
        <v>Moisturizer</v>
      </c>
      <c r="G9" t="str">
        <f>IFERROR(VLOOKUP(C9,Inventory!$A$2:$F$21,3,FALSE),"Product Not Found")</f>
        <v>Beauty</v>
      </c>
      <c r="H9" t="str">
        <f>IF(ISNA(VLOOKUP(C9,Inventory!$A$2:$F$21,2,FALSE)),"Review","OK")</f>
        <v>OK</v>
      </c>
      <c r="I9" t="str">
        <f>IFERROR(INDEX(Inventory!$B$2:$B$21,MATCH(C9,Inventory!$A$2:$A$21,0)),"Product Not Found")</f>
        <v>Moisturizer</v>
      </c>
      <c r="J9" t="str">
        <f>IFERROR(INDEX(Inventory!$A$2:$A$21,MATCH(F9,Inventory!$B$2:$B$21,0)),"Product Not Found")</f>
        <v>P008</v>
      </c>
      <c r="K9" t="e">
        <f ca="1">_xludf.XLOOKUP(C9,Inventory!$A$2:$A$21,Inventory!$B$2:$B$21,"Product Not Found")</f>
        <v>#NAME?</v>
      </c>
      <c r="L9" t="e">
        <f ca="1">_xludf.XLOOKUP(F9,Inventory!$B$2:$B$21,Inventory!$A$2:$A$21,"Product Not Found")</f>
        <v>#NAME?</v>
      </c>
      <c r="M9" s="7">
        <f>IFERROR(INDEX(Markup!$B$2:$E$9,MATCH(C9,Markup!$A$2:$A$9,0),MATCH(E9,Markup!$B$1:$E$1,0)),"No Markup Data")</f>
        <v>0.06</v>
      </c>
      <c r="N9" s="7">
        <f>IFERROR(IF(D9&gt;5,INDEX(Markup!$B$2:$E$9,MATCH(C9,Markup!$A$2:$A$9,0),MATCH(E9,Markup!$B$1:$E$1,0))-2%,INDEX(Markup!$B$2:$E$9,MATCH(C9,Markup!$A$2:$A$9,0),MATCH(E9,Markup!$B$1:$E$1,0))),"No Markup Data")</f>
        <v>0.06</v>
      </c>
    </row>
    <row r="10" spans="1:14" x14ac:dyDescent="0.2">
      <c r="A10" t="s">
        <v>85</v>
      </c>
      <c r="B10" s="5" t="s">
        <v>86</v>
      </c>
      <c r="C10" t="s">
        <v>24</v>
      </c>
      <c r="D10" s="6">
        <v>1</v>
      </c>
      <c r="E10" t="s">
        <v>71</v>
      </c>
      <c r="F10" t="str">
        <f>IFERROR(VLOOKUP(C10,Inventory!$A$2:$F$21,2,FALSE),"Product Not Found")</f>
        <v>Moisturizer</v>
      </c>
      <c r="G10" t="str">
        <f>IFERROR(VLOOKUP(C10,Inventory!$A$2:$F$21,3,FALSE),"Product Not Found")</f>
        <v>Beauty</v>
      </c>
      <c r="H10" t="str">
        <f>IF(ISNA(VLOOKUP(C10,Inventory!$A$2:$F$21,2,FALSE)),"Review","OK")</f>
        <v>OK</v>
      </c>
      <c r="I10" t="str">
        <f>IFERROR(INDEX(Inventory!$B$2:$B$21,MATCH(C10,Inventory!$A$2:$A$21,0)),"Product Not Found")</f>
        <v>Moisturizer</v>
      </c>
      <c r="J10" t="str">
        <f>IFERROR(INDEX(Inventory!$A$2:$A$21,MATCH(F10,Inventory!$B$2:$B$21,0)),"Product Not Found")</f>
        <v>P008</v>
      </c>
      <c r="K10" t="e">
        <f ca="1">_xludf.XLOOKUP(C10,Inventory!$A$2:$A$21,Inventory!$B$2:$B$21,"Product Not Found")</f>
        <v>#NAME?</v>
      </c>
      <c r="L10" t="e">
        <f ca="1">_xludf.XLOOKUP(F10,Inventory!$B$2:$B$21,Inventory!$A$2:$A$21,"Product Not Found")</f>
        <v>#NAME?</v>
      </c>
      <c r="M10" s="7">
        <f>IFERROR(INDEX(Markup!$B$2:$E$9,MATCH(C10,Markup!$A$2:$A$9,0),MATCH(E10,Markup!$B$1:$E$1,0)),"No Markup Data")</f>
        <v>0.06</v>
      </c>
      <c r="N10" s="7">
        <f>IFERROR(IF(D10&gt;5,INDEX(Markup!$B$2:$E$9,MATCH(C10,Markup!$A$2:$A$9,0),MATCH(E10,Markup!$B$1:$E$1,0))-2%,INDEX(Markup!$B$2:$E$9,MATCH(C10,Markup!$A$2:$A$9,0),MATCH(E10,Markup!$B$1:$E$1,0))),"No Markup Data")</f>
        <v>0.06</v>
      </c>
    </row>
    <row r="11" spans="1:14" x14ac:dyDescent="0.2">
      <c r="A11" t="s">
        <v>87</v>
      </c>
      <c r="B11" s="5" t="s">
        <v>82</v>
      </c>
      <c r="C11" t="s">
        <v>49</v>
      </c>
      <c r="D11" s="6">
        <v>7</v>
      </c>
      <c r="E11" t="s">
        <v>68</v>
      </c>
      <c r="F11" t="str">
        <f>IFERROR(VLOOKUP(C11,Inventory!$A$2:$F$21,2,FALSE),"Product Not Found")</f>
        <v>Table Lamp</v>
      </c>
      <c r="G11" t="str">
        <f>IFERROR(VLOOKUP(C11,Inventory!$A$2:$F$21,3,FALSE),"Product Not Found")</f>
        <v>Home &amp; Kitchen</v>
      </c>
      <c r="H11" t="str">
        <f>IF(ISNA(VLOOKUP(C11,Inventory!$A$2:$F$21,2,FALSE)),"Review","OK")</f>
        <v>OK</v>
      </c>
      <c r="I11" t="str">
        <f>IFERROR(INDEX(Inventory!$B$2:$B$21,MATCH(C11,Inventory!$A$2:$A$21,0)),"Product Not Found")</f>
        <v>Table Lamp</v>
      </c>
      <c r="J11" t="str">
        <f>IFERROR(INDEX(Inventory!$A$2:$A$21,MATCH(F11,Inventory!$B$2:$B$21,0)),"Product Not Found")</f>
        <v>P019</v>
      </c>
      <c r="K11" t="e">
        <f ca="1">_xludf.XLOOKUP(C11,Inventory!$A$2:$A$21,Inventory!$B$2:$B$21,"Product Not Found")</f>
        <v>#NAME?</v>
      </c>
      <c r="L11" t="e">
        <f ca="1">_xludf.XLOOKUP(F11,Inventory!$B$2:$B$21,Inventory!$A$2:$A$21,"Product Not Found")</f>
        <v>#NAME?</v>
      </c>
      <c r="M11" s="7" t="str">
        <f>IFERROR(INDEX(Markup!$B$2:$E$9,MATCH(C11,Markup!$A$2:$A$9,0),MATCH(E11,Markup!$B$1:$E$1,0)),"No Markup Data")</f>
        <v>No Markup Data</v>
      </c>
      <c r="N11" s="7" t="str">
        <f>IFERROR(IF(D11&gt;5,INDEX(Markup!$B$2:$E$9,MATCH(C11,Markup!$A$2:$A$9,0),MATCH(E11,Markup!$B$1:$E$1,0))-2%,INDEX(Markup!$B$2:$E$9,MATCH(C11,Markup!$A$2:$A$9,0),MATCH(E11,Markup!$B$1:$E$1,0))),"No Markup Data")</f>
        <v>No Markup Data</v>
      </c>
    </row>
    <row r="12" spans="1:14" x14ac:dyDescent="0.2">
      <c r="A12" t="s">
        <v>88</v>
      </c>
      <c r="B12" s="5" t="s">
        <v>89</v>
      </c>
      <c r="C12" t="s">
        <v>36</v>
      </c>
      <c r="D12" s="6">
        <v>6</v>
      </c>
      <c r="E12" t="s">
        <v>77</v>
      </c>
      <c r="F12" t="str">
        <f>IFERROR(VLOOKUP(C12,Inventory!$A$2:$F$21,2,FALSE),"Product Not Found")</f>
        <v>Cricket Bat</v>
      </c>
      <c r="G12" t="str">
        <f>IFERROR(VLOOKUP(C12,Inventory!$A$2:$F$21,3,FALSE),"Product Not Found")</f>
        <v>Sports</v>
      </c>
      <c r="H12" t="str">
        <f>IF(ISNA(VLOOKUP(C12,Inventory!$A$2:$F$21,2,FALSE)),"Review","OK")</f>
        <v>OK</v>
      </c>
      <c r="I12" t="str">
        <f>IFERROR(INDEX(Inventory!$B$2:$B$21,MATCH(C12,Inventory!$A$2:$A$21,0)),"Product Not Found")</f>
        <v>Cricket Bat</v>
      </c>
      <c r="J12" t="str">
        <f>IFERROR(INDEX(Inventory!$A$2:$A$21,MATCH(F12,Inventory!$B$2:$B$21,0)),"Product Not Found")</f>
        <v>P013</v>
      </c>
      <c r="K12" t="e">
        <f ca="1">_xludf.XLOOKUP(C12,Inventory!$A$2:$A$21,Inventory!$B$2:$B$21,"Product Not Found")</f>
        <v>#NAME?</v>
      </c>
      <c r="L12" t="e">
        <f ca="1">_xludf.XLOOKUP(F12,Inventory!$B$2:$B$21,Inventory!$A$2:$A$21,"Product Not Found")</f>
        <v>#NAME?</v>
      </c>
      <c r="M12" s="7" t="str">
        <f>IFERROR(INDEX(Markup!$B$2:$E$9,MATCH(C12,Markup!$A$2:$A$9,0),MATCH(E12,Markup!$B$1:$E$1,0)),"No Markup Data")</f>
        <v>No Markup Data</v>
      </c>
      <c r="N12" s="7" t="str">
        <f>IFERROR(IF(D12&gt;5,INDEX(Markup!$B$2:$E$9,MATCH(C12,Markup!$A$2:$A$9,0),MATCH(E12,Markup!$B$1:$E$1,0))-2%,INDEX(Markup!$B$2:$E$9,MATCH(C12,Markup!$A$2:$A$9,0),MATCH(E12,Markup!$B$1:$E$1,0))),"No Markup Data")</f>
        <v>No Markup Data</v>
      </c>
    </row>
    <row r="13" spans="1:14" x14ac:dyDescent="0.2">
      <c r="A13" t="s">
        <v>90</v>
      </c>
      <c r="B13" s="5" t="s">
        <v>86</v>
      </c>
      <c r="C13" t="s">
        <v>91</v>
      </c>
      <c r="D13" s="6">
        <v>2</v>
      </c>
      <c r="E13" t="s">
        <v>74</v>
      </c>
      <c r="F13" t="str">
        <f>IFERROR(VLOOKUP(C13,Inventory!$A$2:$F$21,2,FALSE),"Product Not Found")</f>
        <v>Product Not Found</v>
      </c>
      <c r="G13" t="str">
        <f>IFERROR(VLOOKUP(C13,Inventory!$A$2:$F$21,3,FALSE),"Product Not Found")</f>
        <v>Product Not Found</v>
      </c>
      <c r="H13" t="str">
        <f>IF(ISNA(VLOOKUP(C13,Inventory!$A$2:$F$21,2,FALSE)),"Review","OK")</f>
        <v>Review</v>
      </c>
      <c r="I13" t="str">
        <f>IFERROR(INDEX(Inventory!$B$2:$B$21,MATCH(C13,Inventory!$A$2:$A$21,0)),"Product Not Found")</f>
        <v>Product Not Found</v>
      </c>
      <c r="J13" t="str">
        <f>IFERROR(INDEX(Inventory!$A$2:$A$21,MATCH(F13,Inventory!$B$2:$B$21,0)),"Product Not Found")</f>
        <v>Product Not Found</v>
      </c>
      <c r="K13" t="e">
        <f ca="1">_xludf.XLOOKUP(C13,Inventory!$A$2:$A$21,Inventory!$B$2:$B$21,"Product Not Found")</f>
        <v>#NAME?</v>
      </c>
      <c r="L13" t="e">
        <f ca="1">_xludf.XLOOKUP(F13,Inventory!$B$2:$B$21,Inventory!$A$2:$A$21,"Product Not Found")</f>
        <v>#NAME?</v>
      </c>
      <c r="M13" s="7" t="str">
        <f>IFERROR(INDEX(Markup!$B$2:$E$9,MATCH(C13,Markup!$A$2:$A$9,0),MATCH(E13,Markup!$B$1:$E$1,0)),"No Markup Data")</f>
        <v>No Markup Data</v>
      </c>
      <c r="N13" s="7" t="str">
        <f>IFERROR(IF(D13&gt;5,INDEX(Markup!$B$2:$E$9,MATCH(C13,Markup!$A$2:$A$9,0),MATCH(E13,Markup!$B$1:$E$1,0))-2%,INDEX(Markup!$B$2:$E$9,MATCH(C13,Markup!$A$2:$A$9,0),MATCH(E13,Markup!$B$1:$E$1,0))),"No Markup Data")</f>
        <v>No Markup Data</v>
      </c>
    </row>
    <row r="14" spans="1:14" x14ac:dyDescent="0.2">
      <c r="A14" t="s">
        <v>92</v>
      </c>
      <c r="B14" s="5" t="s">
        <v>93</v>
      </c>
      <c r="C14" t="s">
        <v>94</v>
      </c>
      <c r="D14" s="6">
        <v>5</v>
      </c>
      <c r="E14" t="s">
        <v>71</v>
      </c>
      <c r="F14" t="str">
        <f>IFERROR(VLOOKUP(C14,Inventory!$A$2:$F$21,2,FALSE),"Product Not Found")</f>
        <v>Product Not Found</v>
      </c>
      <c r="G14" t="str">
        <f>IFERROR(VLOOKUP(C14,Inventory!$A$2:$F$21,3,FALSE),"Product Not Found")</f>
        <v>Product Not Found</v>
      </c>
      <c r="H14" t="str">
        <f>IF(ISNA(VLOOKUP(C14,Inventory!$A$2:$F$21,2,FALSE)),"Review","OK")</f>
        <v>Review</v>
      </c>
      <c r="I14" t="str">
        <f>IFERROR(INDEX(Inventory!$B$2:$B$21,MATCH(C14,Inventory!$A$2:$A$21,0)),"Product Not Found")</f>
        <v>Product Not Found</v>
      </c>
      <c r="J14" t="str">
        <f>IFERROR(INDEX(Inventory!$A$2:$A$21,MATCH(F14,Inventory!$B$2:$B$21,0)),"Product Not Found")</f>
        <v>Product Not Found</v>
      </c>
      <c r="K14" t="e">
        <f ca="1">_xludf.XLOOKUP(C14,Inventory!$A$2:$A$21,Inventory!$B$2:$B$21,"Product Not Found")</f>
        <v>#NAME?</v>
      </c>
      <c r="L14" t="e">
        <f ca="1">_xludf.XLOOKUP(F14,Inventory!$B$2:$B$21,Inventory!$A$2:$A$21,"Product Not Found")</f>
        <v>#NAME?</v>
      </c>
      <c r="M14" s="7" t="str">
        <f>IFERROR(INDEX(Markup!$B$2:$E$9,MATCH(C14,Markup!$A$2:$A$9,0),MATCH(E14,Markup!$B$1:$E$1,0)),"No Markup Data")</f>
        <v>No Markup Data</v>
      </c>
      <c r="N14" s="7" t="str">
        <f>IFERROR(IF(D14&gt;5,INDEX(Markup!$B$2:$E$9,MATCH(C14,Markup!$A$2:$A$9,0),MATCH(E14,Markup!$B$1:$E$1,0))-2%,INDEX(Markup!$B$2:$E$9,MATCH(C14,Markup!$A$2:$A$9,0),MATCH(E14,Markup!$B$1:$E$1,0))),"No Markup Data")</f>
        <v>No Markup Data</v>
      </c>
    </row>
    <row r="15" spans="1:14" x14ac:dyDescent="0.2">
      <c r="A15" t="s">
        <v>95</v>
      </c>
      <c r="B15" s="5" t="s">
        <v>96</v>
      </c>
      <c r="C15" t="s">
        <v>28</v>
      </c>
      <c r="D15" s="6">
        <v>3</v>
      </c>
      <c r="E15" t="s">
        <v>71</v>
      </c>
      <c r="F15" t="str">
        <f>IFERROR(VLOOKUP(C15,Inventory!$A$2:$F$21,2,FALSE),"Product Not Found")</f>
        <v>Cotton T-Shirt</v>
      </c>
      <c r="G15" t="str">
        <f>IFERROR(VLOOKUP(C15,Inventory!$A$2:$F$21,3,FALSE),"Product Not Found")</f>
        <v>Apparel</v>
      </c>
      <c r="H15" t="str">
        <f>IF(ISNA(VLOOKUP(C15,Inventory!$A$2:$F$21,2,FALSE)),"Review","OK")</f>
        <v>OK</v>
      </c>
      <c r="I15" t="str">
        <f>IFERROR(INDEX(Inventory!$B$2:$B$21,MATCH(C15,Inventory!$A$2:$A$21,0)),"Product Not Found")</f>
        <v>Cotton T-Shirt</v>
      </c>
      <c r="J15" t="str">
        <f>IFERROR(INDEX(Inventory!$A$2:$A$21,MATCH(F15,Inventory!$B$2:$B$21,0)),"Product Not Found")</f>
        <v>P010</v>
      </c>
      <c r="K15" t="e">
        <f ca="1">_xludf.XLOOKUP(C15,Inventory!$A$2:$A$21,Inventory!$B$2:$B$21,"Product Not Found")</f>
        <v>#NAME?</v>
      </c>
      <c r="L15" t="e">
        <f ca="1">_xludf.XLOOKUP(F15,Inventory!$B$2:$B$21,Inventory!$A$2:$A$21,"Product Not Found")</f>
        <v>#NAME?</v>
      </c>
      <c r="M15" s="7" t="str">
        <f>IFERROR(INDEX(Markup!$B$2:$E$9,MATCH(C15,Markup!$A$2:$A$9,0),MATCH(E15,Markup!$B$1:$E$1,0)),"No Markup Data")</f>
        <v>No Markup Data</v>
      </c>
      <c r="N15" s="7" t="str">
        <f>IFERROR(IF(D15&gt;5,INDEX(Markup!$B$2:$E$9,MATCH(C15,Markup!$A$2:$A$9,0),MATCH(E15,Markup!$B$1:$E$1,0))-2%,INDEX(Markup!$B$2:$E$9,MATCH(C15,Markup!$A$2:$A$9,0),MATCH(E15,Markup!$B$1:$E$1,0))),"No Markup Data")</f>
        <v>No Markup Data</v>
      </c>
    </row>
    <row r="16" spans="1:14" x14ac:dyDescent="0.2">
      <c r="A16" t="s">
        <v>97</v>
      </c>
      <c r="B16" s="5" t="s">
        <v>98</v>
      </c>
      <c r="C16" t="s">
        <v>99</v>
      </c>
      <c r="D16" s="6">
        <v>2</v>
      </c>
      <c r="E16" t="s">
        <v>71</v>
      </c>
      <c r="F16" t="str">
        <f>IFERROR(VLOOKUP(C16,Inventory!$A$2:$F$21,2,FALSE),"Product Not Found")</f>
        <v>Product Not Found</v>
      </c>
      <c r="G16" t="str">
        <f>IFERROR(VLOOKUP(C16,Inventory!$A$2:$F$21,3,FALSE),"Product Not Found")</f>
        <v>Product Not Found</v>
      </c>
      <c r="H16" t="str">
        <f>IF(ISNA(VLOOKUP(C16,Inventory!$A$2:$F$21,2,FALSE)),"Review","OK")</f>
        <v>Review</v>
      </c>
      <c r="I16" t="str">
        <f>IFERROR(INDEX(Inventory!$B$2:$B$21,MATCH(C16,Inventory!$A$2:$A$21,0)),"Product Not Found")</f>
        <v>Product Not Found</v>
      </c>
      <c r="J16" t="str">
        <f>IFERROR(INDEX(Inventory!$A$2:$A$21,MATCH(F16,Inventory!$B$2:$B$21,0)),"Product Not Found")</f>
        <v>Product Not Found</v>
      </c>
      <c r="K16" t="e">
        <f ca="1">_xludf.XLOOKUP(C16,Inventory!$A$2:$A$21,Inventory!$B$2:$B$21,"Product Not Found")</f>
        <v>#NAME?</v>
      </c>
      <c r="L16" t="e">
        <f ca="1">_xludf.XLOOKUP(F16,Inventory!$B$2:$B$21,Inventory!$A$2:$A$21,"Product Not Found")</f>
        <v>#NAME?</v>
      </c>
      <c r="M16" s="7" t="str">
        <f>IFERROR(INDEX(Markup!$B$2:$E$9,MATCH(C16,Markup!$A$2:$A$9,0),MATCH(E16,Markup!$B$1:$E$1,0)),"No Markup Data")</f>
        <v>No Markup Data</v>
      </c>
      <c r="N16" s="7" t="str">
        <f>IFERROR(IF(D16&gt;5,INDEX(Markup!$B$2:$E$9,MATCH(C16,Markup!$A$2:$A$9,0),MATCH(E16,Markup!$B$1:$E$1,0))-2%,INDEX(Markup!$B$2:$E$9,MATCH(C16,Markup!$A$2:$A$9,0),MATCH(E16,Markup!$B$1:$E$1,0))),"No Markup Data")</f>
        <v>No Markup Data</v>
      </c>
    </row>
    <row r="17" spans="1:14" x14ac:dyDescent="0.2">
      <c r="A17" t="s">
        <v>100</v>
      </c>
      <c r="B17" s="5" t="s">
        <v>101</v>
      </c>
      <c r="C17" t="s">
        <v>7</v>
      </c>
      <c r="D17" s="6">
        <v>4</v>
      </c>
      <c r="E17" t="s">
        <v>71</v>
      </c>
      <c r="F17" t="str">
        <f>IFERROR(VLOOKUP(C17,Inventory!$A$2:$F$21,2,FALSE),"Product Not Found")</f>
        <v>Wireless Mouse</v>
      </c>
      <c r="G17" t="str">
        <f>IFERROR(VLOOKUP(C17,Inventory!$A$2:$F$21,3,FALSE),"Product Not Found")</f>
        <v>Electronics</v>
      </c>
      <c r="H17" t="str">
        <f>IF(ISNA(VLOOKUP(C17,Inventory!$A$2:$F$21,2,FALSE)),"Review","OK")</f>
        <v>OK</v>
      </c>
      <c r="I17" t="str">
        <f>IFERROR(INDEX(Inventory!$B$2:$B$21,MATCH(C17,Inventory!$A$2:$A$21,0)),"Product Not Found")</f>
        <v>Wireless Mouse</v>
      </c>
      <c r="J17" t="str">
        <f>IFERROR(INDEX(Inventory!$A$2:$A$21,MATCH(F17,Inventory!$B$2:$B$21,0)),"Product Not Found")</f>
        <v>P001</v>
      </c>
      <c r="K17" t="e">
        <f ca="1">_xludf.XLOOKUP(C17,Inventory!$A$2:$A$21,Inventory!$B$2:$B$21,"Product Not Found")</f>
        <v>#NAME?</v>
      </c>
      <c r="L17" t="e">
        <f ca="1">_xludf.XLOOKUP(F17,Inventory!$B$2:$B$21,Inventory!$A$2:$A$21,"Product Not Found")</f>
        <v>#NAME?</v>
      </c>
      <c r="M17" s="7">
        <f>IFERROR(INDEX(Markup!$B$2:$E$9,MATCH(C17,Markup!$A$2:$A$9,0),MATCH(E17,Markup!$B$1:$E$1,0)),"No Markup Data")</f>
        <v>0.1</v>
      </c>
      <c r="N17" s="7">
        <f>IFERROR(IF(D17&gt;5,INDEX(Markup!$B$2:$E$9,MATCH(C17,Markup!$A$2:$A$9,0),MATCH(E17,Markup!$B$1:$E$1,0))-2%,INDEX(Markup!$B$2:$E$9,MATCH(C17,Markup!$A$2:$A$9,0),MATCH(E17,Markup!$B$1:$E$1,0))),"No Markup Data")</f>
        <v>0.1</v>
      </c>
    </row>
    <row r="18" spans="1:14" x14ac:dyDescent="0.2">
      <c r="A18" t="s">
        <v>102</v>
      </c>
      <c r="B18" s="5" t="s">
        <v>103</v>
      </c>
      <c r="C18" t="s">
        <v>7</v>
      </c>
      <c r="D18" s="6">
        <v>7</v>
      </c>
      <c r="E18" t="s">
        <v>74</v>
      </c>
      <c r="F18" t="str">
        <f>IFERROR(VLOOKUP(C18,Inventory!$A$2:$F$21,2,FALSE),"Product Not Found")</f>
        <v>Wireless Mouse</v>
      </c>
      <c r="G18" t="str">
        <f>IFERROR(VLOOKUP(C18,Inventory!$A$2:$F$21,3,FALSE),"Product Not Found")</f>
        <v>Electronics</v>
      </c>
      <c r="H18" t="str">
        <f>IF(ISNA(VLOOKUP(C18,Inventory!$A$2:$F$21,2,FALSE)),"Review","OK")</f>
        <v>OK</v>
      </c>
      <c r="I18" t="str">
        <f>IFERROR(INDEX(Inventory!$B$2:$B$21,MATCH(C18,Inventory!$A$2:$A$21,0)),"Product Not Found")</f>
        <v>Wireless Mouse</v>
      </c>
      <c r="J18" t="str">
        <f>IFERROR(INDEX(Inventory!$A$2:$A$21,MATCH(F18,Inventory!$B$2:$B$21,0)),"Product Not Found")</f>
        <v>P001</v>
      </c>
      <c r="K18" t="e">
        <f ca="1">_xludf.XLOOKUP(C18,Inventory!$A$2:$A$21,Inventory!$B$2:$B$21,"Product Not Found")</f>
        <v>#NAME?</v>
      </c>
      <c r="L18" t="e">
        <f ca="1">_xludf.XLOOKUP(F18,Inventory!$B$2:$B$21,Inventory!$A$2:$A$21,"Product Not Found")</f>
        <v>#NAME?</v>
      </c>
      <c r="M18" s="7">
        <f>IFERROR(INDEX(Markup!$B$2:$E$9,MATCH(C18,Markup!$A$2:$A$9,0),MATCH(E18,Markup!$B$1:$E$1,0)),"No Markup Data")</f>
        <v>0.08</v>
      </c>
      <c r="N18" s="7">
        <f>IFERROR(IF(D18&gt;5,INDEX(Markup!$B$2:$E$9,MATCH(C18,Markup!$A$2:$A$9,0),MATCH(E18,Markup!$B$1:$E$1,0))-2%,INDEX(Markup!$B$2:$E$9,MATCH(C18,Markup!$A$2:$A$9,0),MATCH(E18,Markup!$B$1:$E$1,0))),"No Markup Data")</f>
        <v>0.06</v>
      </c>
    </row>
    <row r="19" spans="1:14" x14ac:dyDescent="0.2">
      <c r="A19" t="s">
        <v>104</v>
      </c>
      <c r="B19" s="5" t="s">
        <v>105</v>
      </c>
      <c r="C19" t="s">
        <v>26</v>
      </c>
      <c r="D19" s="6">
        <v>3</v>
      </c>
      <c r="E19" t="s">
        <v>68</v>
      </c>
      <c r="F19" t="str">
        <f>IFERROR(VLOOKUP(C19,Inventory!$A$2:$F$21,2,FALSE),"Product Not Found")</f>
        <v>Lipstick</v>
      </c>
      <c r="G19" t="str">
        <f>IFERROR(VLOOKUP(C19,Inventory!$A$2:$F$21,3,FALSE),"Product Not Found")</f>
        <v>Beauty</v>
      </c>
      <c r="H19" t="str">
        <f>IF(ISNA(VLOOKUP(C19,Inventory!$A$2:$F$21,2,FALSE)),"Review","OK")</f>
        <v>OK</v>
      </c>
      <c r="I19" t="str">
        <f>IFERROR(INDEX(Inventory!$B$2:$B$21,MATCH(C19,Inventory!$A$2:$A$21,0)),"Product Not Found")</f>
        <v>Lipstick</v>
      </c>
      <c r="J19" t="str">
        <f>IFERROR(INDEX(Inventory!$A$2:$A$21,MATCH(F19,Inventory!$B$2:$B$21,0)),"Product Not Found")</f>
        <v>P009</v>
      </c>
      <c r="K19" t="e">
        <f ca="1">_xludf.XLOOKUP(C19,Inventory!$A$2:$A$21,Inventory!$B$2:$B$21,"Product Not Found")</f>
        <v>#NAME?</v>
      </c>
      <c r="L19" t="e">
        <f ca="1">_xludf.XLOOKUP(F19,Inventory!$B$2:$B$21,Inventory!$A$2:$A$21,"Product Not Found")</f>
        <v>#NAME?</v>
      </c>
      <c r="M19" s="7" t="str">
        <f>IFERROR(INDEX(Markup!$B$2:$E$9,MATCH(C19,Markup!$A$2:$A$9,0),MATCH(E19,Markup!$B$1:$E$1,0)),"No Markup Data")</f>
        <v>No Markup Data</v>
      </c>
      <c r="N19" s="7" t="str">
        <f>IFERROR(IF(D19&gt;5,INDEX(Markup!$B$2:$E$9,MATCH(C19,Markup!$A$2:$A$9,0),MATCH(E19,Markup!$B$1:$E$1,0))-2%,INDEX(Markup!$B$2:$E$9,MATCH(C19,Markup!$A$2:$A$9,0),MATCH(E19,Markup!$B$1:$E$1,0))),"No Markup Data")</f>
        <v>No Markup Data</v>
      </c>
    </row>
    <row r="20" spans="1:14" x14ac:dyDescent="0.2">
      <c r="A20" t="s">
        <v>106</v>
      </c>
      <c r="B20" s="5" t="s">
        <v>101</v>
      </c>
      <c r="C20" t="s">
        <v>36</v>
      </c>
      <c r="D20" s="6">
        <v>1</v>
      </c>
      <c r="E20" t="s">
        <v>74</v>
      </c>
      <c r="F20" t="str">
        <f>IFERROR(VLOOKUP(C20,Inventory!$A$2:$F$21,2,FALSE),"Product Not Found")</f>
        <v>Cricket Bat</v>
      </c>
      <c r="G20" t="str">
        <f>IFERROR(VLOOKUP(C20,Inventory!$A$2:$F$21,3,FALSE),"Product Not Found")</f>
        <v>Sports</v>
      </c>
      <c r="H20" t="str">
        <f>IF(ISNA(VLOOKUP(C20,Inventory!$A$2:$F$21,2,FALSE)),"Review","OK")</f>
        <v>OK</v>
      </c>
      <c r="I20" t="str">
        <f>IFERROR(INDEX(Inventory!$B$2:$B$21,MATCH(C20,Inventory!$A$2:$A$21,0)),"Product Not Found")</f>
        <v>Cricket Bat</v>
      </c>
      <c r="J20" t="str">
        <f>IFERROR(INDEX(Inventory!$A$2:$A$21,MATCH(F20,Inventory!$B$2:$B$21,0)),"Product Not Found")</f>
        <v>P013</v>
      </c>
      <c r="K20" t="e">
        <f ca="1">_xludf.XLOOKUP(C20,Inventory!$A$2:$A$21,Inventory!$B$2:$B$21,"Product Not Found")</f>
        <v>#NAME?</v>
      </c>
      <c r="L20" t="e">
        <f ca="1">_xludf.XLOOKUP(F20,Inventory!$B$2:$B$21,Inventory!$A$2:$A$21,"Product Not Found")</f>
        <v>#NAME?</v>
      </c>
      <c r="M20" s="7" t="str">
        <f>IFERROR(INDEX(Markup!$B$2:$E$9,MATCH(C20,Markup!$A$2:$A$9,0),MATCH(E20,Markup!$B$1:$E$1,0)),"No Markup Data")</f>
        <v>No Markup Data</v>
      </c>
      <c r="N20" s="7" t="str">
        <f>IFERROR(IF(D20&gt;5,INDEX(Markup!$B$2:$E$9,MATCH(C20,Markup!$A$2:$A$9,0),MATCH(E20,Markup!$B$1:$E$1,0))-2%,INDEX(Markup!$B$2:$E$9,MATCH(C20,Markup!$A$2:$A$9,0),MATCH(E20,Markup!$B$1:$E$1,0))),"No Markup Data")</f>
        <v>No Markup Data</v>
      </c>
    </row>
    <row r="21" spans="1:14" x14ac:dyDescent="0.2">
      <c r="A21" t="s">
        <v>107</v>
      </c>
      <c r="B21" s="5" t="s">
        <v>108</v>
      </c>
      <c r="C21" t="s">
        <v>21</v>
      </c>
      <c r="D21" s="6">
        <v>2</v>
      </c>
      <c r="E21" t="s">
        <v>74</v>
      </c>
      <c r="F21" t="str">
        <f>IFERROR(VLOOKUP(C21,Inventory!$A$2:$F$21,2,FALSE),"Product Not Found")</f>
        <v>Face Wash</v>
      </c>
      <c r="G21" t="str">
        <f>IFERROR(VLOOKUP(C21,Inventory!$A$2:$F$21,3,FALSE),"Product Not Found")</f>
        <v>Beauty</v>
      </c>
      <c r="H21" t="str">
        <f>IF(ISNA(VLOOKUP(C21,Inventory!$A$2:$F$21,2,FALSE)),"Review","OK")</f>
        <v>OK</v>
      </c>
      <c r="I21" t="str">
        <f>IFERROR(INDEX(Inventory!$B$2:$B$21,MATCH(C21,Inventory!$A$2:$A$21,0)),"Product Not Found")</f>
        <v>Face Wash</v>
      </c>
      <c r="J21" t="str">
        <f>IFERROR(INDEX(Inventory!$A$2:$A$21,MATCH(F21,Inventory!$B$2:$B$21,0)),"Product Not Found")</f>
        <v>P007</v>
      </c>
      <c r="K21" t="e">
        <f ca="1">_xludf.XLOOKUP(C21,Inventory!$A$2:$A$21,Inventory!$B$2:$B$21,"Product Not Found")</f>
        <v>#NAME?</v>
      </c>
      <c r="L21" t="e">
        <f ca="1">_xludf.XLOOKUP(F21,Inventory!$B$2:$B$21,Inventory!$A$2:$A$21,"Product Not Found")</f>
        <v>#NAME?</v>
      </c>
      <c r="M21" s="7">
        <f>IFERROR(INDEX(Markup!$B$2:$E$9,MATCH(C21,Markup!$A$2:$A$9,0),MATCH(E21,Markup!$B$1:$E$1,0)),"No Markup Data")</f>
        <v>0.1</v>
      </c>
      <c r="N21" s="7">
        <f>IFERROR(IF(D21&gt;5,INDEX(Markup!$B$2:$E$9,MATCH(C21,Markup!$A$2:$A$9,0),MATCH(E21,Markup!$B$1:$E$1,0))-2%,INDEX(Markup!$B$2:$E$9,MATCH(C21,Markup!$A$2:$A$9,0),MATCH(E21,Markup!$B$1:$E$1,0))),"No Markup Data")</f>
        <v>0.1</v>
      </c>
    </row>
    <row r="22" spans="1:14" x14ac:dyDescent="0.2">
      <c r="A22" t="s">
        <v>109</v>
      </c>
      <c r="B22" s="5" t="s">
        <v>110</v>
      </c>
      <c r="C22" t="s">
        <v>38</v>
      </c>
      <c r="D22" s="6">
        <v>8</v>
      </c>
      <c r="E22" t="s">
        <v>74</v>
      </c>
      <c r="F22" t="str">
        <f>IFERROR(VLOOKUP(C22,Inventory!$A$2:$F$21,2,FALSE),"Product Not Found")</f>
        <v>Yoga Mat</v>
      </c>
      <c r="G22" t="str">
        <f>IFERROR(VLOOKUP(C22,Inventory!$A$2:$F$21,3,FALSE),"Product Not Found")</f>
        <v>Sports</v>
      </c>
      <c r="H22" t="str">
        <f>IF(ISNA(VLOOKUP(C22,Inventory!$A$2:$F$21,2,FALSE)),"Review","OK")</f>
        <v>OK</v>
      </c>
      <c r="I22" t="str">
        <f>IFERROR(INDEX(Inventory!$B$2:$B$21,MATCH(C22,Inventory!$A$2:$A$21,0)),"Product Not Found")</f>
        <v>Yoga Mat</v>
      </c>
      <c r="J22" t="str">
        <f>IFERROR(INDEX(Inventory!$A$2:$A$21,MATCH(F22,Inventory!$B$2:$B$21,0)),"Product Not Found")</f>
        <v>P014</v>
      </c>
      <c r="K22" t="e">
        <f ca="1">_xludf.XLOOKUP(C22,Inventory!$A$2:$A$21,Inventory!$B$2:$B$21,"Product Not Found")</f>
        <v>#NAME?</v>
      </c>
      <c r="L22" t="e">
        <f ca="1">_xludf.XLOOKUP(F22,Inventory!$B$2:$B$21,Inventory!$A$2:$A$21,"Product Not Found")</f>
        <v>#NAME?</v>
      </c>
      <c r="M22" s="7" t="str">
        <f>IFERROR(INDEX(Markup!$B$2:$E$9,MATCH(C22,Markup!$A$2:$A$9,0),MATCH(E22,Markup!$B$1:$E$1,0)),"No Markup Data")</f>
        <v>No Markup Data</v>
      </c>
      <c r="N22" s="7" t="str">
        <f>IFERROR(IF(D22&gt;5,INDEX(Markup!$B$2:$E$9,MATCH(C22,Markup!$A$2:$A$9,0),MATCH(E22,Markup!$B$1:$E$1,0))-2%,INDEX(Markup!$B$2:$E$9,MATCH(C22,Markup!$A$2:$A$9,0),MATCH(E22,Markup!$B$1:$E$1,0))),"No Markup Data")</f>
        <v>No Markup Data</v>
      </c>
    </row>
    <row r="23" spans="1:14" x14ac:dyDescent="0.2">
      <c r="A23" t="s">
        <v>111</v>
      </c>
      <c r="B23" s="5" t="s">
        <v>73</v>
      </c>
      <c r="C23" t="s">
        <v>21</v>
      </c>
      <c r="D23" s="6">
        <v>4</v>
      </c>
      <c r="E23" t="s">
        <v>68</v>
      </c>
      <c r="F23" t="str">
        <f>IFERROR(VLOOKUP(C23,Inventory!$A$2:$F$21,2,FALSE),"Product Not Found")</f>
        <v>Face Wash</v>
      </c>
      <c r="G23" t="str">
        <f>IFERROR(VLOOKUP(C23,Inventory!$A$2:$F$21,3,FALSE),"Product Not Found")</f>
        <v>Beauty</v>
      </c>
      <c r="H23" t="str">
        <f>IF(ISNA(VLOOKUP(C23,Inventory!$A$2:$F$21,2,FALSE)),"Review","OK")</f>
        <v>OK</v>
      </c>
      <c r="I23" t="str">
        <f>IFERROR(INDEX(Inventory!$B$2:$B$21,MATCH(C23,Inventory!$A$2:$A$21,0)),"Product Not Found")</f>
        <v>Face Wash</v>
      </c>
      <c r="J23" t="str">
        <f>IFERROR(INDEX(Inventory!$A$2:$A$21,MATCH(F23,Inventory!$B$2:$B$21,0)),"Product Not Found")</f>
        <v>P007</v>
      </c>
      <c r="K23" t="e">
        <f ca="1">_xludf.XLOOKUP(C23,Inventory!$A$2:$A$21,Inventory!$B$2:$B$21,"Product Not Found")</f>
        <v>#NAME?</v>
      </c>
      <c r="L23" t="e">
        <f ca="1">_xludf.XLOOKUP(F23,Inventory!$B$2:$B$21,Inventory!$A$2:$A$21,"Product Not Found")</f>
        <v>#NAME?</v>
      </c>
      <c r="M23" s="7">
        <f>IFERROR(INDEX(Markup!$B$2:$E$9,MATCH(C23,Markup!$A$2:$A$9,0),MATCH(E23,Markup!$B$1:$E$1,0)),"No Markup Data")</f>
        <v>0.08</v>
      </c>
      <c r="N23" s="7">
        <f>IFERROR(IF(D23&gt;5,INDEX(Markup!$B$2:$E$9,MATCH(C23,Markup!$A$2:$A$9,0),MATCH(E23,Markup!$B$1:$E$1,0))-2%,INDEX(Markup!$B$2:$E$9,MATCH(C23,Markup!$A$2:$A$9,0),MATCH(E23,Markup!$B$1:$E$1,0))),"No Markup Data")</f>
        <v>0.08</v>
      </c>
    </row>
    <row r="24" spans="1:14" x14ac:dyDescent="0.2">
      <c r="A24" t="s">
        <v>112</v>
      </c>
      <c r="B24" s="5" t="s">
        <v>113</v>
      </c>
      <c r="C24" t="s">
        <v>31</v>
      </c>
      <c r="D24" s="6">
        <v>8</v>
      </c>
      <c r="E24" t="s">
        <v>68</v>
      </c>
      <c r="F24" t="str">
        <f>IFERROR(VLOOKUP(C24,Inventory!$A$2:$F$21,2,FALSE),"Product Not Found")</f>
        <v>Denim Jeans</v>
      </c>
      <c r="G24" t="str">
        <f>IFERROR(VLOOKUP(C24,Inventory!$A$2:$F$21,3,FALSE),"Product Not Found")</f>
        <v>Apparel</v>
      </c>
      <c r="H24" t="str">
        <f>IF(ISNA(VLOOKUP(C24,Inventory!$A$2:$F$21,2,FALSE)),"Review","OK")</f>
        <v>OK</v>
      </c>
      <c r="I24" t="str">
        <f>IFERROR(INDEX(Inventory!$B$2:$B$21,MATCH(C24,Inventory!$A$2:$A$21,0)),"Product Not Found")</f>
        <v>Denim Jeans</v>
      </c>
      <c r="J24" t="str">
        <f>IFERROR(INDEX(Inventory!$A$2:$A$21,MATCH(F24,Inventory!$B$2:$B$21,0)),"Product Not Found")</f>
        <v>P011</v>
      </c>
      <c r="K24" t="e">
        <f ca="1">_xludf.XLOOKUP(C24,Inventory!$A$2:$A$21,Inventory!$B$2:$B$21,"Product Not Found")</f>
        <v>#NAME?</v>
      </c>
      <c r="L24" t="e">
        <f ca="1">_xludf.XLOOKUP(F24,Inventory!$B$2:$B$21,Inventory!$A$2:$A$21,"Product Not Found")</f>
        <v>#NAME?</v>
      </c>
      <c r="M24" s="7" t="str">
        <f>IFERROR(INDEX(Markup!$B$2:$E$9,MATCH(C24,Markup!$A$2:$A$9,0),MATCH(E24,Markup!$B$1:$E$1,0)),"No Markup Data")</f>
        <v>No Markup Data</v>
      </c>
      <c r="N24" s="7" t="str">
        <f>IFERROR(IF(D24&gt;5,INDEX(Markup!$B$2:$E$9,MATCH(C24,Markup!$A$2:$A$9,0),MATCH(E24,Markup!$B$1:$E$1,0))-2%,INDEX(Markup!$B$2:$E$9,MATCH(C24,Markup!$A$2:$A$9,0),MATCH(E24,Markup!$B$1:$E$1,0))),"No Markup Data")</f>
        <v>No Markup Data</v>
      </c>
    </row>
    <row r="25" spans="1:14" x14ac:dyDescent="0.2">
      <c r="A25" t="s">
        <v>114</v>
      </c>
      <c r="B25" s="5" t="s">
        <v>115</v>
      </c>
      <c r="C25" t="s">
        <v>49</v>
      </c>
      <c r="D25" s="6">
        <v>2</v>
      </c>
      <c r="E25" t="s">
        <v>71</v>
      </c>
      <c r="F25" t="str">
        <f>IFERROR(VLOOKUP(C25,Inventory!$A$2:$F$21,2,FALSE),"Product Not Found")</f>
        <v>Table Lamp</v>
      </c>
      <c r="G25" t="str">
        <f>IFERROR(VLOOKUP(C25,Inventory!$A$2:$F$21,3,FALSE),"Product Not Found")</f>
        <v>Home &amp; Kitchen</v>
      </c>
      <c r="H25" t="str">
        <f>IF(ISNA(VLOOKUP(C25,Inventory!$A$2:$F$21,2,FALSE)),"Review","OK")</f>
        <v>OK</v>
      </c>
      <c r="I25" t="str">
        <f>IFERROR(INDEX(Inventory!$B$2:$B$21,MATCH(C25,Inventory!$A$2:$A$21,0)),"Product Not Found")</f>
        <v>Table Lamp</v>
      </c>
      <c r="J25" t="str">
        <f>IFERROR(INDEX(Inventory!$A$2:$A$21,MATCH(F25,Inventory!$B$2:$B$21,0)),"Product Not Found")</f>
        <v>P019</v>
      </c>
      <c r="K25" t="e">
        <f ca="1">_xludf.XLOOKUP(C25,Inventory!$A$2:$A$21,Inventory!$B$2:$B$21,"Product Not Found")</f>
        <v>#NAME?</v>
      </c>
      <c r="L25" t="e">
        <f ca="1">_xludf.XLOOKUP(F25,Inventory!$B$2:$B$21,Inventory!$A$2:$A$21,"Product Not Found")</f>
        <v>#NAME?</v>
      </c>
      <c r="M25" s="7" t="str">
        <f>IFERROR(INDEX(Markup!$B$2:$E$9,MATCH(C25,Markup!$A$2:$A$9,0),MATCH(E25,Markup!$B$1:$E$1,0)),"No Markup Data")</f>
        <v>No Markup Data</v>
      </c>
      <c r="N25" s="7" t="str">
        <f>IFERROR(IF(D25&gt;5,INDEX(Markup!$B$2:$E$9,MATCH(C25,Markup!$A$2:$A$9,0),MATCH(E25,Markup!$B$1:$E$1,0))-2%,INDEX(Markup!$B$2:$E$9,MATCH(C25,Markup!$A$2:$A$9,0),MATCH(E25,Markup!$B$1:$E$1,0))),"No Markup Data")</f>
        <v>No Markup Data</v>
      </c>
    </row>
    <row r="26" spans="1:14" x14ac:dyDescent="0.2">
      <c r="A26" t="s">
        <v>116</v>
      </c>
      <c r="B26" s="5" t="s">
        <v>117</v>
      </c>
      <c r="C26" t="s">
        <v>36</v>
      </c>
      <c r="D26" s="6">
        <v>3</v>
      </c>
      <c r="E26" t="s">
        <v>71</v>
      </c>
      <c r="F26" t="str">
        <f>IFERROR(VLOOKUP(C26,Inventory!$A$2:$F$21,2,FALSE),"Product Not Found")</f>
        <v>Cricket Bat</v>
      </c>
      <c r="G26" t="str">
        <f>IFERROR(VLOOKUP(C26,Inventory!$A$2:$F$21,3,FALSE),"Product Not Found")</f>
        <v>Sports</v>
      </c>
      <c r="H26" t="str">
        <f>IF(ISNA(VLOOKUP(C26,Inventory!$A$2:$F$21,2,FALSE)),"Review","OK")</f>
        <v>OK</v>
      </c>
      <c r="I26" t="str">
        <f>IFERROR(INDEX(Inventory!$B$2:$B$21,MATCH(C26,Inventory!$A$2:$A$21,0)),"Product Not Found")</f>
        <v>Cricket Bat</v>
      </c>
      <c r="J26" t="str">
        <f>IFERROR(INDEX(Inventory!$A$2:$A$21,MATCH(F26,Inventory!$B$2:$B$21,0)),"Product Not Found")</f>
        <v>P013</v>
      </c>
      <c r="K26" t="e">
        <f ca="1">_xludf.XLOOKUP(C26,Inventory!$A$2:$A$21,Inventory!$B$2:$B$21,"Product Not Found")</f>
        <v>#NAME?</v>
      </c>
      <c r="L26" t="e">
        <f ca="1">_xludf.XLOOKUP(F26,Inventory!$B$2:$B$21,Inventory!$A$2:$A$21,"Product Not Found")</f>
        <v>#NAME?</v>
      </c>
      <c r="M26" s="7" t="str">
        <f>IFERROR(INDEX(Markup!$B$2:$E$9,MATCH(C26,Markup!$A$2:$A$9,0),MATCH(E26,Markup!$B$1:$E$1,0)),"No Markup Data")</f>
        <v>No Markup Data</v>
      </c>
      <c r="N26" s="7" t="str">
        <f>IFERROR(IF(D26&gt;5,INDEX(Markup!$B$2:$E$9,MATCH(C26,Markup!$A$2:$A$9,0),MATCH(E26,Markup!$B$1:$E$1,0))-2%,INDEX(Markup!$B$2:$E$9,MATCH(C26,Markup!$A$2:$A$9,0),MATCH(E26,Markup!$B$1:$E$1,0))),"No Markup Data")</f>
        <v>No Markup Data</v>
      </c>
    </row>
    <row r="27" spans="1:14" x14ac:dyDescent="0.2">
      <c r="A27" t="s">
        <v>118</v>
      </c>
      <c r="B27" s="5" t="s">
        <v>119</v>
      </c>
      <c r="C27" t="s">
        <v>12</v>
      </c>
      <c r="D27" s="6">
        <v>2</v>
      </c>
      <c r="E27" t="s">
        <v>68</v>
      </c>
      <c r="F27" t="str">
        <f>IFERROR(VLOOKUP(C27,Inventory!$A$2:$F$21,2,FALSE),"Product Not Found")</f>
        <v>Bluetooth Speaker</v>
      </c>
      <c r="G27" t="str">
        <f>IFERROR(VLOOKUP(C27,Inventory!$A$2:$F$21,3,FALSE),"Product Not Found")</f>
        <v>Electronics</v>
      </c>
      <c r="H27" t="str">
        <f>IF(ISNA(VLOOKUP(C27,Inventory!$A$2:$F$21,2,FALSE)),"Review","OK")</f>
        <v>OK</v>
      </c>
      <c r="I27" t="str">
        <f>IFERROR(INDEX(Inventory!$B$2:$B$21,MATCH(C27,Inventory!$A$2:$A$21,0)),"Product Not Found")</f>
        <v>Bluetooth Speaker</v>
      </c>
      <c r="J27" t="str">
        <f>IFERROR(INDEX(Inventory!$A$2:$A$21,MATCH(F27,Inventory!$B$2:$B$21,0)),"Product Not Found")</f>
        <v>P003</v>
      </c>
      <c r="K27" t="e">
        <f ca="1">_xludf.XLOOKUP(C27,Inventory!$A$2:$A$21,Inventory!$B$2:$B$21,"Product Not Found")</f>
        <v>#NAME?</v>
      </c>
      <c r="L27" t="e">
        <f ca="1">_xludf.XLOOKUP(F27,Inventory!$B$2:$B$21,Inventory!$A$2:$A$21,"Product Not Found")</f>
        <v>#NAME?</v>
      </c>
      <c r="M27" s="7">
        <f>IFERROR(INDEX(Markup!$B$2:$E$9,MATCH(C27,Markup!$A$2:$A$9,0),MATCH(E27,Markup!$B$1:$E$1,0)),"No Markup Data")</f>
        <v>0.06</v>
      </c>
      <c r="N27" s="7">
        <f>IFERROR(IF(D27&gt;5,INDEX(Markup!$B$2:$E$9,MATCH(C27,Markup!$A$2:$A$9,0),MATCH(E27,Markup!$B$1:$E$1,0))-2%,INDEX(Markup!$B$2:$E$9,MATCH(C27,Markup!$A$2:$A$9,0),MATCH(E27,Markup!$B$1:$E$1,0))),"No Markup Data")</f>
        <v>0.06</v>
      </c>
    </row>
    <row r="28" spans="1:14" x14ac:dyDescent="0.2">
      <c r="A28" t="s">
        <v>120</v>
      </c>
      <c r="B28" s="5" t="s">
        <v>121</v>
      </c>
      <c r="C28" t="s">
        <v>28</v>
      </c>
      <c r="D28" s="6">
        <v>3</v>
      </c>
      <c r="E28" t="s">
        <v>68</v>
      </c>
      <c r="F28" t="str">
        <f>IFERROR(VLOOKUP(C28,Inventory!$A$2:$F$21,2,FALSE),"Product Not Found")</f>
        <v>Cotton T-Shirt</v>
      </c>
      <c r="G28" t="str">
        <f>IFERROR(VLOOKUP(C28,Inventory!$A$2:$F$21,3,FALSE),"Product Not Found")</f>
        <v>Apparel</v>
      </c>
      <c r="H28" t="str">
        <f>IF(ISNA(VLOOKUP(C28,Inventory!$A$2:$F$21,2,FALSE)),"Review","OK")</f>
        <v>OK</v>
      </c>
      <c r="I28" t="str">
        <f>IFERROR(INDEX(Inventory!$B$2:$B$21,MATCH(C28,Inventory!$A$2:$A$21,0)),"Product Not Found")</f>
        <v>Cotton T-Shirt</v>
      </c>
      <c r="J28" t="str">
        <f>IFERROR(INDEX(Inventory!$A$2:$A$21,MATCH(F28,Inventory!$B$2:$B$21,0)),"Product Not Found")</f>
        <v>P010</v>
      </c>
      <c r="K28" t="e">
        <f ca="1">_xludf.XLOOKUP(C28,Inventory!$A$2:$A$21,Inventory!$B$2:$B$21,"Product Not Found")</f>
        <v>#NAME?</v>
      </c>
      <c r="L28" t="e">
        <f ca="1">_xludf.XLOOKUP(F28,Inventory!$B$2:$B$21,Inventory!$A$2:$A$21,"Product Not Found")</f>
        <v>#NAME?</v>
      </c>
      <c r="M28" s="7" t="str">
        <f>IFERROR(INDEX(Markup!$B$2:$E$9,MATCH(C28,Markup!$A$2:$A$9,0),MATCH(E28,Markup!$B$1:$E$1,0)),"No Markup Data")</f>
        <v>No Markup Data</v>
      </c>
      <c r="N28" s="7" t="str">
        <f>IFERROR(IF(D28&gt;5,INDEX(Markup!$B$2:$E$9,MATCH(C28,Markup!$A$2:$A$9,0),MATCH(E28,Markup!$B$1:$E$1,0))-2%,INDEX(Markup!$B$2:$E$9,MATCH(C28,Markup!$A$2:$A$9,0),MATCH(E28,Markup!$B$1:$E$1,0))),"No Markup Data")</f>
        <v>No Markup Data</v>
      </c>
    </row>
    <row r="29" spans="1:14" x14ac:dyDescent="0.2">
      <c r="A29" t="s">
        <v>122</v>
      </c>
      <c r="B29" s="5" t="s">
        <v>123</v>
      </c>
      <c r="C29" t="s">
        <v>43</v>
      </c>
      <c r="D29" s="6">
        <v>8</v>
      </c>
      <c r="E29" t="s">
        <v>71</v>
      </c>
      <c r="F29" t="str">
        <f>IFERROR(VLOOKUP(C29,Inventory!$A$2:$F$21,2,FALSE),"Product Not Found")</f>
        <v>Non-Stick Pan</v>
      </c>
      <c r="G29" t="str">
        <f>IFERROR(VLOOKUP(C29,Inventory!$A$2:$F$21,3,FALSE),"Product Not Found")</f>
        <v>Home &amp; Kitchen</v>
      </c>
      <c r="H29" t="str">
        <f>IF(ISNA(VLOOKUP(C29,Inventory!$A$2:$F$21,2,FALSE)),"Review","OK")</f>
        <v>OK</v>
      </c>
      <c r="I29" t="str">
        <f>IFERROR(INDEX(Inventory!$B$2:$B$21,MATCH(C29,Inventory!$A$2:$A$21,0)),"Product Not Found")</f>
        <v>Non-Stick Pan</v>
      </c>
      <c r="J29" t="str">
        <f>IFERROR(INDEX(Inventory!$A$2:$A$21,MATCH(F29,Inventory!$B$2:$B$21,0)),"Product Not Found")</f>
        <v>P016</v>
      </c>
      <c r="K29" t="e">
        <f ca="1">_xludf.XLOOKUP(C29,Inventory!$A$2:$A$21,Inventory!$B$2:$B$21,"Product Not Found")</f>
        <v>#NAME?</v>
      </c>
      <c r="L29" t="e">
        <f ca="1">_xludf.XLOOKUP(F29,Inventory!$B$2:$B$21,Inventory!$A$2:$A$21,"Product Not Found")</f>
        <v>#NAME?</v>
      </c>
      <c r="M29" s="7" t="str">
        <f>IFERROR(INDEX(Markup!$B$2:$E$9,MATCH(C29,Markup!$A$2:$A$9,0),MATCH(E29,Markup!$B$1:$E$1,0)),"No Markup Data")</f>
        <v>No Markup Data</v>
      </c>
      <c r="N29" s="7" t="str">
        <f>IFERROR(IF(D29&gt;5,INDEX(Markup!$B$2:$E$9,MATCH(C29,Markup!$A$2:$A$9,0),MATCH(E29,Markup!$B$1:$E$1,0))-2%,INDEX(Markup!$B$2:$E$9,MATCH(C29,Markup!$A$2:$A$9,0),MATCH(E29,Markup!$B$1:$E$1,0))),"No Markup Data")</f>
        <v>No Markup Data</v>
      </c>
    </row>
    <row r="30" spans="1:14" x14ac:dyDescent="0.2">
      <c r="A30" t="s">
        <v>124</v>
      </c>
      <c r="B30" s="5" t="s">
        <v>125</v>
      </c>
      <c r="C30" t="s">
        <v>24</v>
      </c>
      <c r="D30" s="6">
        <v>1</v>
      </c>
      <c r="E30" t="s">
        <v>77</v>
      </c>
      <c r="F30" t="str">
        <f>IFERROR(VLOOKUP(C30,Inventory!$A$2:$F$21,2,FALSE),"Product Not Found")</f>
        <v>Moisturizer</v>
      </c>
      <c r="G30" t="str">
        <f>IFERROR(VLOOKUP(C30,Inventory!$A$2:$F$21,3,FALSE),"Product Not Found")</f>
        <v>Beauty</v>
      </c>
      <c r="H30" t="str">
        <f>IF(ISNA(VLOOKUP(C30,Inventory!$A$2:$F$21,2,FALSE)),"Review","OK")</f>
        <v>OK</v>
      </c>
      <c r="I30" t="str">
        <f>IFERROR(INDEX(Inventory!$B$2:$B$21,MATCH(C30,Inventory!$A$2:$A$21,0)),"Product Not Found")</f>
        <v>Moisturizer</v>
      </c>
      <c r="J30" t="str">
        <f>IFERROR(INDEX(Inventory!$A$2:$A$21,MATCH(F30,Inventory!$B$2:$B$21,0)),"Product Not Found")</f>
        <v>P008</v>
      </c>
      <c r="K30" t="e">
        <f ca="1">_xludf.XLOOKUP(C30,Inventory!$A$2:$A$21,Inventory!$B$2:$B$21,"Product Not Found")</f>
        <v>#NAME?</v>
      </c>
      <c r="L30" t="e">
        <f ca="1">_xludf.XLOOKUP(F30,Inventory!$B$2:$B$21,Inventory!$A$2:$A$21,"Product Not Found")</f>
        <v>#NAME?</v>
      </c>
      <c r="M30" s="7">
        <f>IFERROR(INDEX(Markup!$B$2:$E$9,MATCH(C30,Markup!$A$2:$A$9,0),MATCH(E30,Markup!$B$1:$E$1,0)),"No Markup Data")</f>
        <v>0.03</v>
      </c>
      <c r="N30" s="7">
        <f>IFERROR(IF(D30&gt;5,INDEX(Markup!$B$2:$E$9,MATCH(C30,Markup!$A$2:$A$9,0),MATCH(E30,Markup!$B$1:$E$1,0))-2%,INDEX(Markup!$B$2:$E$9,MATCH(C30,Markup!$A$2:$A$9,0),MATCH(E30,Markup!$B$1:$E$1,0))),"No Markup Data")</f>
        <v>0.03</v>
      </c>
    </row>
    <row r="31" spans="1:14" x14ac:dyDescent="0.2">
      <c r="A31" t="s">
        <v>126</v>
      </c>
      <c r="B31" s="5" t="s">
        <v>127</v>
      </c>
      <c r="C31" t="s">
        <v>24</v>
      </c>
      <c r="D31" s="6">
        <v>5</v>
      </c>
      <c r="E31" t="s">
        <v>68</v>
      </c>
      <c r="F31" t="str">
        <f>IFERROR(VLOOKUP(C31,Inventory!$A$2:$F$21,2,FALSE),"Product Not Found")</f>
        <v>Moisturizer</v>
      </c>
      <c r="G31" t="str">
        <f>IFERROR(VLOOKUP(C31,Inventory!$A$2:$F$21,3,FALSE),"Product Not Found")</f>
        <v>Beauty</v>
      </c>
      <c r="H31" t="str">
        <f>IF(ISNA(VLOOKUP(C31,Inventory!$A$2:$F$21,2,FALSE)),"Review","OK")</f>
        <v>OK</v>
      </c>
      <c r="I31" t="str">
        <f>IFERROR(INDEX(Inventory!$B$2:$B$21,MATCH(C31,Inventory!$A$2:$A$21,0)),"Product Not Found")</f>
        <v>Moisturizer</v>
      </c>
      <c r="J31" t="str">
        <f>IFERROR(INDEX(Inventory!$A$2:$A$21,MATCH(F31,Inventory!$B$2:$B$21,0)),"Product Not Found")</f>
        <v>P008</v>
      </c>
      <c r="K31" t="e">
        <f ca="1">_xludf.XLOOKUP(C31,Inventory!$A$2:$A$21,Inventory!$B$2:$B$21,"Product Not Found")</f>
        <v>#NAME?</v>
      </c>
      <c r="L31" t="e">
        <f ca="1">_xludf.XLOOKUP(F31,Inventory!$B$2:$B$21,Inventory!$A$2:$A$21,"Product Not Found")</f>
        <v>#NAME?</v>
      </c>
      <c r="M31" s="7">
        <f>IFERROR(INDEX(Markup!$B$2:$E$9,MATCH(C31,Markup!$A$2:$A$9,0),MATCH(E31,Markup!$B$1:$E$1,0)),"No Markup Data")</f>
        <v>0.09</v>
      </c>
      <c r="N31" s="7">
        <f>IFERROR(IF(D31&gt;5,INDEX(Markup!$B$2:$E$9,MATCH(C31,Markup!$A$2:$A$9,0),MATCH(E31,Markup!$B$1:$E$1,0))-2%,INDEX(Markup!$B$2:$E$9,MATCH(C31,Markup!$A$2:$A$9,0),MATCH(E31,Markup!$B$1:$E$1,0))),"No Markup Data")</f>
        <v>0.09</v>
      </c>
    </row>
  </sheetData>
  <autoFilter ref="A1:N31" xr:uid="{00000000-0009-0000-0000-000001000000}"/>
  <conditionalFormatting sqref="A2:N31">
    <cfRule type="expression" dxfId="0" priority="1">
      <formula>$H2="Review"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5" width="12" customWidth="1"/>
  </cols>
  <sheetData>
    <row r="1" spans="1:5" x14ac:dyDescent="0.2">
      <c r="A1" s="1" t="s">
        <v>56</v>
      </c>
      <c r="B1" s="1" t="s">
        <v>128</v>
      </c>
      <c r="C1" s="1" t="s">
        <v>129</v>
      </c>
      <c r="D1" s="1" t="s">
        <v>130</v>
      </c>
      <c r="E1" s="1" t="s">
        <v>131</v>
      </c>
    </row>
    <row r="2" spans="1:5" x14ac:dyDescent="0.2">
      <c r="A2" t="s">
        <v>68</v>
      </c>
      <c r="B2" s="8">
        <v>250000</v>
      </c>
      <c r="C2" s="8">
        <v>275000</v>
      </c>
      <c r="D2" s="8">
        <v>260000</v>
      </c>
      <c r="E2" s="8">
        <v>300000</v>
      </c>
    </row>
    <row r="3" spans="1:5" x14ac:dyDescent="0.2">
      <c r="A3" t="s">
        <v>74</v>
      </c>
      <c r="B3" s="8">
        <v>220000</v>
      </c>
      <c r="C3" s="8">
        <v>230000</v>
      </c>
      <c r="D3" s="8">
        <v>245000</v>
      </c>
      <c r="E3" s="8">
        <v>260000</v>
      </c>
    </row>
    <row r="4" spans="1:5" x14ac:dyDescent="0.2">
      <c r="A4" t="s">
        <v>71</v>
      </c>
      <c r="B4" s="8">
        <v>180000</v>
      </c>
      <c r="C4" s="8">
        <v>190000</v>
      </c>
      <c r="D4" s="8">
        <v>200000</v>
      </c>
      <c r="E4" s="8">
        <v>210000</v>
      </c>
    </row>
    <row r="5" spans="1:5" x14ac:dyDescent="0.2">
      <c r="A5" t="s">
        <v>77</v>
      </c>
      <c r="B5" s="8">
        <v>300000</v>
      </c>
      <c r="C5" s="8">
        <v>310000</v>
      </c>
      <c r="D5" s="8">
        <v>295000</v>
      </c>
      <c r="E5" s="8">
        <v>330000</v>
      </c>
    </row>
  </sheetData>
  <autoFilter ref="A1:E5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5" width="12" customWidth="1"/>
  </cols>
  <sheetData>
    <row r="1" spans="1:5" x14ac:dyDescent="0.2">
      <c r="A1" s="1" t="s">
        <v>0</v>
      </c>
      <c r="B1" s="1" t="s">
        <v>68</v>
      </c>
      <c r="C1" s="1" t="s">
        <v>74</v>
      </c>
      <c r="D1" s="1" t="s">
        <v>71</v>
      </c>
      <c r="E1" s="1" t="s">
        <v>77</v>
      </c>
    </row>
    <row r="2" spans="1:5" x14ac:dyDescent="0.2">
      <c r="A2" t="s">
        <v>7</v>
      </c>
      <c r="B2" s="7">
        <v>7.0000000000000007E-2</v>
      </c>
      <c r="C2" s="7">
        <v>0.08</v>
      </c>
      <c r="D2" s="7">
        <v>0.1</v>
      </c>
      <c r="E2" s="7">
        <v>0.05</v>
      </c>
    </row>
    <row r="3" spans="1:5" x14ac:dyDescent="0.2">
      <c r="A3" t="s">
        <v>10</v>
      </c>
      <c r="B3" s="7">
        <v>0.05</v>
      </c>
      <c r="C3" s="7">
        <v>0.09</v>
      </c>
      <c r="D3" s="7">
        <v>7.0000000000000007E-2</v>
      </c>
      <c r="E3" s="7">
        <v>0.06</v>
      </c>
    </row>
    <row r="4" spans="1:5" x14ac:dyDescent="0.2">
      <c r="A4" t="s">
        <v>12</v>
      </c>
      <c r="B4" s="7">
        <v>0.06</v>
      </c>
      <c r="C4" s="7">
        <v>0.05</v>
      </c>
      <c r="D4" s="7">
        <v>0.04</v>
      </c>
      <c r="E4" s="7">
        <v>0.08</v>
      </c>
    </row>
    <row r="5" spans="1:5" x14ac:dyDescent="0.2">
      <c r="A5" t="s">
        <v>14</v>
      </c>
      <c r="B5" s="7">
        <v>0.11</v>
      </c>
      <c r="C5" s="7">
        <v>0.09</v>
      </c>
      <c r="D5" s="7">
        <v>0.08</v>
      </c>
      <c r="E5" s="7">
        <v>0.05</v>
      </c>
    </row>
    <row r="6" spans="1:5" x14ac:dyDescent="0.2">
      <c r="A6" t="s">
        <v>17</v>
      </c>
      <c r="B6" s="7">
        <v>0.06</v>
      </c>
      <c r="C6" s="7">
        <v>0.03</v>
      </c>
      <c r="D6" s="7">
        <v>0.09</v>
      </c>
      <c r="E6" s="7">
        <v>0.05</v>
      </c>
    </row>
    <row r="7" spans="1:5" x14ac:dyDescent="0.2">
      <c r="A7" t="s">
        <v>19</v>
      </c>
      <c r="B7" s="7">
        <v>0.05</v>
      </c>
      <c r="C7" s="7">
        <v>0.12</v>
      </c>
      <c r="D7" s="7">
        <v>0.05</v>
      </c>
      <c r="E7" s="7">
        <v>0.12</v>
      </c>
    </row>
    <row r="8" spans="1:5" x14ac:dyDescent="0.2">
      <c r="A8" t="s">
        <v>21</v>
      </c>
      <c r="B8" s="7">
        <v>0.08</v>
      </c>
      <c r="C8" s="7">
        <v>0.1</v>
      </c>
      <c r="D8" s="7">
        <v>0.08</v>
      </c>
      <c r="E8" s="7">
        <v>0.04</v>
      </c>
    </row>
    <row r="9" spans="1:5" x14ac:dyDescent="0.2">
      <c r="A9" t="s">
        <v>24</v>
      </c>
      <c r="B9" s="7">
        <v>0.09</v>
      </c>
      <c r="C9" s="7">
        <v>0.05</v>
      </c>
      <c r="D9" s="7">
        <v>0.06</v>
      </c>
      <c r="E9" s="7">
        <v>0.03</v>
      </c>
    </row>
  </sheetData>
  <autoFilter ref="A1:E9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42" customWidth="1"/>
    <col min="2" max="2" width="24" customWidth="1"/>
    <col min="3" max="3" width="50" customWidth="1"/>
    <col min="4" max="4" width="25" customWidth="1"/>
  </cols>
  <sheetData>
    <row r="1" spans="1:4" ht="16" x14ac:dyDescent="0.2">
      <c r="A1" s="9" t="s">
        <v>132</v>
      </c>
      <c r="B1" s="9" t="s">
        <v>133</v>
      </c>
      <c r="C1" s="9" t="s">
        <v>134</v>
      </c>
      <c r="D1" s="9" t="s">
        <v>135</v>
      </c>
    </row>
    <row r="2" spans="1:4" ht="16" x14ac:dyDescent="0.2">
      <c r="A2" s="10" t="s">
        <v>136</v>
      </c>
      <c r="B2" s="10" t="s">
        <v>47</v>
      </c>
      <c r="C2" s="10" t="str">
        <f>VLOOKUP(B2,Inventory!$A$2:$F$21,2,FALSE)</f>
        <v>Water Bottle</v>
      </c>
      <c r="D2" s="10" t="s">
        <v>48</v>
      </c>
    </row>
    <row r="3" spans="1:4" ht="16" x14ac:dyDescent="0.2">
      <c r="A3" s="10" t="s">
        <v>137</v>
      </c>
      <c r="B3" s="10" t="s">
        <v>47</v>
      </c>
      <c r="C3" s="10" t="str">
        <f>VLOOKUP(B3,Inventory!$A$2:$F$21,3,FALSE)</f>
        <v>Sports</v>
      </c>
      <c r="D3" s="10" t="s">
        <v>35</v>
      </c>
    </row>
    <row r="4" spans="1:4" ht="16" x14ac:dyDescent="0.2">
      <c r="A4" s="10" t="s">
        <v>138</v>
      </c>
      <c r="B4" s="10" t="s">
        <v>91</v>
      </c>
      <c r="C4" s="10" t="str">
        <f>IFERROR(VLOOKUP(B4,Inventory!$A$2:$F$21,2,FALSE),"Product Not Found")</f>
        <v>Product Not Found</v>
      </c>
      <c r="D4" s="10" t="s">
        <v>139</v>
      </c>
    </row>
    <row r="5" spans="1:4" ht="16" x14ac:dyDescent="0.2">
      <c r="A5" s="10" t="s">
        <v>138</v>
      </c>
      <c r="B5" s="10" t="s">
        <v>94</v>
      </c>
      <c r="C5" s="10" t="str">
        <f>IFERROR(VLOOKUP(B5,Inventory!$A$2:$F$21,2,FALSE),"Product Not Found")</f>
        <v>Product Not Found</v>
      </c>
      <c r="D5" s="10" t="s">
        <v>139</v>
      </c>
    </row>
    <row r="6" spans="1:4" ht="16" x14ac:dyDescent="0.2">
      <c r="A6" s="10" t="s">
        <v>140</v>
      </c>
      <c r="B6" s="10" t="s">
        <v>48</v>
      </c>
      <c r="C6" s="10" t="str">
        <f>INDEX(Inventory!$A$2:$A$21,MATCH(B6,Inventory!$B$2:$B$21,0))</f>
        <v>P018</v>
      </c>
      <c r="D6" s="10" t="s">
        <v>47</v>
      </c>
    </row>
    <row r="7" spans="1:4" ht="16" x14ac:dyDescent="0.2">
      <c r="A7" s="10" t="s">
        <v>140</v>
      </c>
      <c r="B7" s="10" t="s">
        <v>37</v>
      </c>
      <c r="C7" s="10" t="str">
        <f>INDEX(Inventory!$A$2:$A$21,MATCH(B7,Inventory!$B$2:$B$21,0))</f>
        <v>P013</v>
      </c>
      <c r="D7" s="10" t="s">
        <v>36</v>
      </c>
    </row>
    <row r="8" spans="1:4" ht="16" x14ac:dyDescent="0.2">
      <c r="A8" s="10" t="s">
        <v>141</v>
      </c>
      <c r="B8" s="10" t="s">
        <v>48</v>
      </c>
      <c r="C8" s="10" t="e">
        <f ca="1">_xludf.XLOOKUP(B8,Inventory!$B$2:$B$21,Inventory!$A$2:$A$21,"Product Not Found")</f>
        <v>#NAME?</v>
      </c>
      <c r="D8" s="10" t="s">
        <v>47</v>
      </c>
    </row>
    <row r="9" spans="1:4" ht="16" x14ac:dyDescent="0.2">
      <c r="A9" s="10" t="s">
        <v>141</v>
      </c>
      <c r="B9" s="10" t="s">
        <v>37</v>
      </c>
      <c r="C9" s="10" t="e">
        <f ca="1">_xludf.XLOOKUP(B9,Inventory!$B$2:$B$21,Inventory!$A$2:$A$21,"Product Not Found")</f>
        <v>#NAME?</v>
      </c>
      <c r="D9" s="10" t="s">
        <v>36</v>
      </c>
    </row>
    <row r="10" spans="1:4" x14ac:dyDescent="0.2">
      <c r="A10" s="10"/>
      <c r="B10" s="10"/>
      <c r="C10" s="10"/>
      <c r="D10" s="10"/>
    </row>
    <row r="11" spans="1:4" ht="16" x14ac:dyDescent="0.2">
      <c r="A11" s="9" t="s">
        <v>142</v>
      </c>
      <c r="B11" s="9" t="s">
        <v>56</v>
      </c>
      <c r="C11" s="9" t="s">
        <v>130</v>
      </c>
      <c r="D11" s="9" t="s">
        <v>131</v>
      </c>
    </row>
    <row r="12" spans="1:4" ht="16" x14ac:dyDescent="0.2">
      <c r="A12" s="10" t="s">
        <v>143</v>
      </c>
      <c r="B12" s="10" t="s">
        <v>68</v>
      </c>
      <c r="C12" s="10">
        <f>HLOOKUP("Q3 Target",QuarterlyTargets!$A$1:$E$5,MATCH(B12,QuarterlyTargets!$A$1:$A$5,0),FALSE)</f>
        <v>260000</v>
      </c>
      <c r="D12" s="10">
        <f>HLOOKUP("Q4 Target",QuarterlyTargets!$A$1:$E$5,MATCH(B12,QuarterlyTargets!$A$1:$A$5,0),FALSE)</f>
        <v>300000</v>
      </c>
    </row>
    <row r="13" spans="1:4" ht="16" x14ac:dyDescent="0.2">
      <c r="A13" s="10" t="s">
        <v>143</v>
      </c>
      <c r="B13" s="10" t="s">
        <v>74</v>
      </c>
      <c r="C13" s="10">
        <f>HLOOKUP("Q3 Target",QuarterlyTargets!$A$1:$E$5,MATCH(B13,QuarterlyTargets!$A$1:$A$5,0),FALSE)</f>
        <v>245000</v>
      </c>
      <c r="D13" s="10">
        <f>HLOOKUP("Q4 Target",QuarterlyTargets!$A$1:$E$5,MATCH(B13,QuarterlyTargets!$A$1:$A$5,0),FALSE)</f>
        <v>260000</v>
      </c>
    </row>
    <row r="14" spans="1:4" ht="16" x14ac:dyDescent="0.2">
      <c r="A14" s="10" t="s">
        <v>143</v>
      </c>
      <c r="B14" s="10" t="s">
        <v>71</v>
      </c>
      <c r="C14" s="10">
        <f>HLOOKUP("Q3 Target",QuarterlyTargets!$A$1:$E$5,MATCH(B14,QuarterlyTargets!$A$1:$A$5,0),FALSE)</f>
        <v>200000</v>
      </c>
      <c r="D14" s="10">
        <f>HLOOKUP("Q4 Target",QuarterlyTargets!$A$1:$E$5,MATCH(B14,QuarterlyTargets!$A$1:$A$5,0),FALSE)</f>
        <v>210000</v>
      </c>
    </row>
    <row r="15" spans="1:4" ht="16" x14ac:dyDescent="0.2">
      <c r="A15" s="10" t="s">
        <v>143</v>
      </c>
      <c r="B15" s="10" t="s">
        <v>77</v>
      </c>
      <c r="C15" s="10">
        <f>HLOOKUP("Q3 Target",QuarterlyTargets!$A$1:$E$5,MATCH(B15,QuarterlyTargets!$A$1:$A$5,0),FALSE)</f>
        <v>295000</v>
      </c>
      <c r="D15" s="10">
        <f>HLOOKUP("Q4 Target",QuarterlyTargets!$A$1:$E$5,MATCH(B15,QuarterlyTargets!$A$1:$A$5,0),FALSE)</f>
        <v>330000</v>
      </c>
    </row>
    <row r="16" spans="1:4" ht="16" x14ac:dyDescent="0.2">
      <c r="A16" s="10" t="s">
        <v>144</v>
      </c>
      <c r="B16" s="10" t="s">
        <v>12</v>
      </c>
      <c r="C16" s="10" t="s">
        <v>71</v>
      </c>
      <c r="D16" s="11">
        <f>INDEX(Markup!$B$2:$E$9,MATCH(B16,Markup!$A$2:$A$9,0),MATCH(C16,Markup!$B$1:$E$1,0))</f>
        <v>0.04</v>
      </c>
    </row>
    <row r="17" spans="1:4" ht="16" x14ac:dyDescent="0.2">
      <c r="A17" s="10" t="s">
        <v>144</v>
      </c>
      <c r="B17" s="10" t="s">
        <v>24</v>
      </c>
      <c r="C17" s="10" t="s">
        <v>74</v>
      </c>
      <c r="D17" s="11">
        <f>INDEX(Markup!$B$2:$E$9,MATCH(B17,Markup!$A$2:$A$9,0),MATCH(C17,Markup!$B$1:$E$1,0))</f>
        <v>0.05</v>
      </c>
    </row>
    <row r="18" spans="1:4" ht="16" x14ac:dyDescent="0.2">
      <c r="A18" s="12" t="s">
        <v>145</v>
      </c>
      <c r="B18" s="9" t="s">
        <v>146</v>
      </c>
      <c r="C18" s="9" t="s">
        <v>147</v>
      </c>
      <c r="D18" s="10"/>
    </row>
    <row r="19" spans="1:4" x14ac:dyDescent="0.2">
      <c r="A19" s="10"/>
      <c r="B19" s="10">
        <v>0</v>
      </c>
      <c r="C19" s="11">
        <v>0.01</v>
      </c>
      <c r="D19" s="10"/>
    </row>
    <row r="20" spans="1:4" x14ac:dyDescent="0.2">
      <c r="A20" s="10"/>
      <c r="B20" s="10">
        <v>10000</v>
      </c>
      <c r="C20" s="11">
        <v>0.02</v>
      </c>
      <c r="D20" s="10"/>
    </row>
    <row r="21" spans="1:4" x14ac:dyDescent="0.2">
      <c r="A21" s="10"/>
      <c r="B21" s="10">
        <v>25000</v>
      </c>
      <c r="C21" s="11">
        <v>0.03</v>
      </c>
      <c r="D21" s="10"/>
    </row>
    <row r="22" spans="1:4" x14ac:dyDescent="0.2">
      <c r="A22" s="10"/>
      <c r="B22" s="10">
        <v>50000</v>
      </c>
      <c r="C22" s="11">
        <v>0.05</v>
      </c>
      <c r="D22" s="10"/>
    </row>
    <row r="23" spans="1:4" x14ac:dyDescent="0.2">
      <c r="A23" s="10"/>
      <c r="B23" s="10">
        <v>100000</v>
      </c>
      <c r="C23" s="11">
        <v>0.08</v>
      </c>
      <c r="D23" s="10"/>
    </row>
    <row r="24" spans="1:4" ht="16" x14ac:dyDescent="0.2">
      <c r="A24" s="10" t="s">
        <v>148</v>
      </c>
      <c r="B24" s="10">
        <v>37500</v>
      </c>
      <c r="C24" s="11">
        <f>VLOOKUP(B24,$B$19:$C$23,2,TRUE)</f>
        <v>0.03</v>
      </c>
      <c r="D24" s="10"/>
    </row>
    <row r="25" spans="1:4" x14ac:dyDescent="0.2">
      <c r="A25" s="10"/>
      <c r="B25" s="10"/>
      <c r="C25" s="10"/>
      <c r="D25" s="10"/>
    </row>
    <row r="26" spans="1:4" ht="16" x14ac:dyDescent="0.2">
      <c r="A26" s="12" t="s">
        <v>149</v>
      </c>
      <c r="B26" s="9" t="s">
        <v>150</v>
      </c>
      <c r="C26" s="10"/>
      <c r="D26" s="10"/>
    </row>
    <row r="27" spans="1:4" ht="16" x14ac:dyDescent="0.2">
      <c r="A27" s="10" t="s">
        <v>151</v>
      </c>
      <c r="B27" s="10">
        <f>SUMPRODUCT(--(Inventory!$E$2:$E$21&lt;Inventory!$F$2:$F$21))</f>
        <v>5</v>
      </c>
      <c r="C27" s="10" t="s">
        <v>152</v>
      </c>
      <c r="D27" s="10"/>
    </row>
    <row r="28" spans="1:4" ht="16" x14ac:dyDescent="0.2">
      <c r="A28" s="10" t="s">
        <v>153</v>
      </c>
      <c r="B28" s="10">
        <f>COUNTIF(Inventory!$D$2:$D$21,"&gt;1000")</f>
        <v>6</v>
      </c>
      <c r="C28" s="10" t="s">
        <v>154</v>
      </c>
      <c r="D28" s="10"/>
    </row>
    <row r="29" spans="1:4" ht="16" x14ac:dyDescent="0.2">
      <c r="A29" s="10" t="s">
        <v>155</v>
      </c>
      <c r="B29" s="10">
        <f>COUNTIF(Sales!$H$2:$H$31,"Review")</f>
        <v>3</v>
      </c>
      <c r="C29" s="10" t="s">
        <v>156</v>
      </c>
      <c r="D29" s="10"/>
    </row>
    <row r="30" spans="1:4" x14ac:dyDescent="0.2">
      <c r="A30" s="10"/>
      <c r="B30" s="10"/>
      <c r="C30" s="10"/>
      <c r="D30" s="10"/>
    </row>
    <row r="31" spans="1:4" ht="48" x14ac:dyDescent="0.2">
      <c r="A31" s="10" t="s">
        <v>157</v>
      </c>
      <c r="B31" s="10" t="s">
        <v>47</v>
      </c>
      <c r="C31" s="10" t="str">
        <f>VLOOKUP("P018",Inventory!$A$2:$F$21,2)</f>
        <v>Water Bottle</v>
      </c>
      <c r="D31" s="10" t="s">
        <v>158</v>
      </c>
    </row>
  </sheetData>
  <autoFilter ref="A1:D3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7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2" customWidth="1"/>
    <col min="2" max="2" width="105" customWidth="1"/>
  </cols>
  <sheetData>
    <row r="1" spans="1:2" ht="16" x14ac:dyDescent="0.2">
      <c r="A1" s="9" t="s">
        <v>159</v>
      </c>
      <c r="B1" s="9" t="s">
        <v>160</v>
      </c>
    </row>
    <row r="2" spans="1:2" ht="32" x14ac:dyDescent="0.2">
      <c r="A2" s="10" t="s">
        <v>161</v>
      </c>
      <c r="B2" s="10" t="s">
        <v>162</v>
      </c>
    </row>
    <row r="3" spans="1:2" ht="32" x14ac:dyDescent="0.2">
      <c r="A3" s="10" t="s">
        <v>163</v>
      </c>
      <c r="B3" s="10" t="s">
        <v>164</v>
      </c>
    </row>
    <row r="4" spans="1:2" ht="32" x14ac:dyDescent="0.2">
      <c r="A4" s="10" t="s">
        <v>165</v>
      </c>
      <c r="B4" s="10" t="s">
        <v>166</v>
      </c>
    </row>
    <row r="5" spans="1:2" x14ac:dyDescent="0.2">
      <c r="A5" s="10"/>
      <c r="B5" s="10"/>
    </row>
    <row r="6" spans="1:2" ht="32" x14ac:dyDescent="0.2">
      <c r="A6" s="10" t="s">
        <v>167</v>
      </c>
      <c r="B6" s="10" t="s">
        <v>168</v>
      </c>
    </row>
    <row r="7" spans="1:2" ht="32" x14ac:dyDescent="0.2">
      <c r="A7" s="10" t="s">
        <v>169</v>
      </c>
      <c r="B7" s="10" t="s">
        <v>170</v>
      </c>
    </row>
  </sheetData>
  <autoFilter ref="A1:B7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Inventory</vt:lpstr>
      <vt:lpstr>Sales</vt:lpstr>
      <vt:lpstr>QuarterlyTargets</vt:lpstr>
      <vt:lpstr>Markup</vt:lpstr>
      <vt:lpstr>LookupTests</vt:lpstr>
      <vt:lpstr>Lookup Reference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SOHAM SAHAY - 70522500064</cp:lastModifiedBy>
  <dcterms:created xsi:type="dcterms:W3CDTF">2026-09-01T12:10:36Z</dcterms:created>
  <dcterms:modified xsi:type="dcterms:W3CDTF">2026-09-01T12:12:37Z</dcterms:modified>
</cp:coreProperties>
</file>