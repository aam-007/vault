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90a7bc69e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3511e0844a064318"/>
    <x:sheet xmlns:r="http://schemas.openxmlformats.org/officeDocument/2006/relationships" name="Sales" sheetId="2" r:id="Rc53b641d3fd542e3"/>
    <x:sheet xmlns:r="http://schemas.openxmlformats.org/officeDocument/2006/relationships" name="QuarterlyTargets" sheetId="3" r:id="Rd450d883d3c6445f"/>
    <x:sheet xmlns:r="http://schemas.openxmlformats.org/officeDocument/2006/relationships" name="Markup" sheetId="4" r:id="R5a3c123e293941f2"/>
  </x:sheets>
</x:workbook>
</file>

<file path=xl/sharedStrings.xml><?xml version="1.0" encoding="utf-8"?>
<x:sst xmlns:x="http://schemas.openxmlformats.org/spreadsheetml/2006/main">
  <x:si>
    <x:t xml:space="preserve">Product Code</x:t>
  </x:si>
  <x:si>
    <x:t xml:space="preserve">Product Name</x:t>
  </x:si>
  <x:si>
    <x:t xml:space="preserve">Category</x:t>
  </x:si>
  <x:si>
    <x:t xml:space="preserve">Unit Price</x:t>
  </x:si>
  <x:si>
    <x:t xml:space="preserve">Stock Qty</x:t>
  </x:si>
  <x:si>
    <x:t xml:space="preserve">Reorder Level</x:t>
  </x:si>
  <x:si>
    <x:t xml:space="preserve">Stock Variance</x:t>
  </x:si>
  <x:si>
    <x:t xml:space="preserve">Verification Summary</x:t>
  </x:si>
  <x:si>
    <x:t xml:space="preserve">P001</x:t>
  </x:si>
  <x:si>
    <x:t xml:space="preserve">Wireless Mouse</x:t>
  </x:si>
  <x:si>
    <x:t xml:space="preserve">Electronics</x:t>
  </x:si>
  <x:si>
    <x:t xml:space="preserve">Low-stock products</x:t>
  </x:si>
  <x:si>
    <x:t xml:space="preserve">P002</x:t>
  </x:si>
  <x:si>
    <x:t xml:space="preserve">USB Cable</x:t>
  </x:si>
  <x:si>
    <x:t xml:space="preserve">High-value products</x:t>
  </x:si>
  <x:si>
    <x:t xml:space="preserve">P003</x:t>
  </x:si>
  <x:si>
    <x:t xml:space="preserve">Bluetooth Speaker</x:t>
  </x:si>
  <x:si>
    <x:t xml:space="preserve">P004</x:t>
  </x:si>
  <x:si>
    <x:t xml:space="preserve">Notebook Pack</x:t>
  </x:si>
  <x:si>
    <x:t xml:space="preserve">Stationery</x:t>
  </x:si>
  <x:si>
    <x:t xml:space="preserve">P005</x:t>
  </x:si>
  <x:si>
    <x:t xml:space="preserve">Gel Pen Set</x:t>
  </x:si>
  <x:si>
    <x:t xml:space="preserve">P006</x:t>
  </x:si>
  <x:si>
    <x:t xml:space="preserve">Sketch Book</x:t>
  </x:si>
  <x:si>
    <x:t xml:space="preserve">P007</x:t>
  </x:si>
  <x:si>
    <x:t xml:space="preserve">Face Wash</x:t>
  </x:si>
  <x:si>
    <x:t xml:space="preserve">Beauty</x:t>
  </x:si>
  <x:si>
    <x:t xml:space="preserve">P008</x:t>
  </x:si>
  <x:si>
    <x:t xml:space="preserve">Moisturizer</x:t>
  </x:si>
  <x:si>
    <x:t xml:space="preserve">P009</x:t>
  </x:si>
  <x:si>
    <x:t xml:space="preserve">Lipstick</x:t>
  </x:si>
  <x:si>
    <x:t xml:space="preserve">P010</x:t>
  </x:si>
  <x:si>
    <x:t xml:space="preserve">Cotton T-Shirt</x:t>
  </x:si>
  <x:si>
    <x:t xml:space="preserve">Apparel</x:t>
  </x:si>
  <x:si>
    <x:t xml:space="preserve">P011</x:t>
  </x:si>
  <x:si>
    <x:t xml:space="preserve">Denim Jeans</x:t>
  </x:si>
  <x:si>
    <x:t xml:space="preserve">P012</x:t>
  </x:si>
  <x:si>
    <x:t xml:space="preserve">Running Shoes</x:t>
  </x:si>
  <x:si>
    <x:t xml:space="preserve">Sports</x:t>
  </x:si>
  <x:si>
    <x:t xml:space="preserve">P013</x:t>
  </x:si>
  <x:si>
    <x:t xml:space="preserve">Cricket Bat</x:t>
  </x:si>
  <x:si>
    <x:t xml:space="preserve">P014</x:t>
  </x:si>
  <x:si>
    <x:t xml:space="preserve">Yoga Mat</x:t>
  </x:si>
  <x:si>
    <x:t xml:space="preserve">P015</x:t>
  </x:si>
  <x:si>
    <x:t xml:space="preserve">Desk Lamp</x:t>
  </x:si>
  <x:si>
    <x:t xml:space="preserve">Home &amp; Kitchen</x:t>
  </x:si>
  <x:si>
    <x:t xml:space="preserve">P016</x:t>
  </x:si>
  <x:si>
    <x:t xml:space="preserve">Non-Stick Pan</x:t>
  </x:si>
  <x:si>
    <x:t xml:space="preserve">P017</x:t>
  </x:si>
  <x:si>
    <x:t xml:space="preserve">Bluetooth Earbuds</x:t>
  </x:si>
  <x:si>
    <x:t xml:space="preserve">P018</x:t>
  </x:si>
  <x:si>
    <x:t xml:space="preserve">Water Bottle</x:t>
  </x:si>
  <x:si>
    <x:t xml:space="preserve">P019</x:t>
  </x:si>
  <x:si>
    <x:t xml:space="preserve">Table Lamp</x:t>
  </x:si>
  <x:si>
    <x:t xml:space="preserve">P020</x:t>
  </x:si>
  <x:si>
    <x:t xml:space="preserve">Hair Dryer</x:t>
  </x:si>
  <x:si>
    <x:t xml:space="preserve">Transaction ID</x:t>
  </x:si>
  <x:si>
    <x:t xml:space="preserve">Date</x:t>
  </x:si>
  <x:si>
    <x:t xml:space="preserve">Qty</x:t>
  </x:si>
  <x:si>
    <x:t xml:space="preserve">Region</x:t>
  </x:si>
  <x:si>
    <x:t xml:space="preserve">Lookup Status</x:t>
  </x:si>
  <x:si>
    <x:t xml:space="preserve">Product Name(Index-Match)</x:t>
  </x:si>
  <x:si>
    <x:t xml:space="preserve">Product Name (XLookup)</x:t>
  </x:si>
  <x:si>
    <x:t xml:space="preserve">Markup %</x:t>
  </x:si>
  <x:si>
    <x:t xml:space="preserve">Bulk-Adjusted Markup %</x:t>
  </x:si>
  <x:si>
    <x:t xml:space="preserve">Sales Amount</x:t>
  </x:si>
  <x:si>
    <x:t xml:space="preserve">Commission %</x:t>
  </x:si>
  <x:si>
    <x:t xml:space="preserve">Commission Amount</x:t>
  </x:si>
  <x:si>
    <x:t xml:space="preserve">TXN014</x:t>
  </x:si>
  <x:si>
    <x:t xml:space="preserve">North</x:t>
  </x:si>
  <x:si>
    <x:t xml:space="preserve">TXN027</x:t>
  </x:si>
  <x:si>
    <x:t xml:space="preserve">East</x:t>
  </x:si>
  <x:si>
    <x:t xml:space="preserve">TXN003</x:t>
  </x:si>
  <x:si>
    <x:t xml:space="preserve">South</x:t>
  </x:si>
  <x:si>
    <x:t xml:space="preserve">TXN021</x:t>
  </x:si>
  <x:si>
    <x:t xml:space="preserve">West</x:t>
  </x:si>
  <x:si>
    <x:t xml:space="preserve">TXN020</x:t>
  </x:si>
  <x:si>
    <x:t xml:space="preserve">TXN022</x:t>
  </x:si>
  <x:si>
    <x:t xml:space="preserve">TXN012</x:t>
  </x:si>
  <x:si>
    <x:t xml:space="preserve">TXN010</x:t>
  </x:si>
  <x:si>
    <x:t xml:space="preserve">TXN026</x:t>
  </x:si>
  <x:si>
    <x:t xml:space="preserve">TXN018</x:t>
  </x:si>
  <x:si>
    <x:t xml:space="preserve">TXN015</x:t>
  </x:si>
  <x:si>
    <x:t xml:space="preserve">TXN029</x:t>
  </x:si>
  <x:si>
    <x:t xml:space="preserve">P099</x:t>
  </x:si>
  <x:si>
    <x:t xml:space="preserve">TXN030</x:t>
  </x:si>
  <x:si>
    <x:t xml:space="preserve">P077</x:t>
  </x:si>
  <x:si>
    <x:t xml:space="preserve">TXN001</x:t>
  </x:si>
  <x:si>
    <x:t xml:space="preserve">TXN028</x:t>
  </x:si>
  <x:si>
    <x:t xml:space="preserve">P098</x:t>
  </x:si>
  <x:si>
    <x:t xml:space="preserve">TXN008</x:t>
  </x:si>
  <x:si>
    <x:t xml:space="preserve">TXN005</x:t>
  </x:si>
  <x:si>
    <x:t xml:space="preserve">TXN019</x:t>
  </x:si>
  <x:si>
    <x:t xml:space="preserve">TXN004</x:t>
  </x:si>
  <x:si>
    <x:t xml:space="preserve">TXN023</x:t>
  </x:si>
  <x:si>
    <x:t xml:space="preserve">TXN024</x:t>
  </x:si>
  <x:si>
    <x:t xml:space="preserve">TXN011</x:t>
  </x:si>
  <x:si>
    <x:t xml:space="preserve">TXN017</x:t>
  </x:si>
  <x:si>
    <x:t xml:space="preserve">TXN007</x:t>
  </x:si>
  <x:si>
    <x:t xml:space="preserve">TXN016</x:t>
  </x:si>
  <x:si>
    <x:t xml:space="preserve">TXN013</x:t>
  </x:si>
  <x:si>
    <x:t xml:space="preserve">TXN006</x:t>
  </x:si>
  <x:si>
    <x:t xml:space="preserve">TXN002</x:t>
  </x:si>
  <x:si>
    <x:t xml:space="preserve">TXN025</x:t>
  </x:si>
  <x:si>
    <x:t xml:space="preserve">TXN009</x:t>
  </x:si>
  <x:si>
    <x:t xml:space="preserve">Lookup Verification and Data Quality</x:t>
  </x:si>
  <x:si>
    <x:t xml:space="preserve">Approximate VLOOKUP test for P018</x:t>
  </x:si>
  <x:si>
    <x:t xml:space="preserve">Exact VLOOKUP test for P018</x:t>
  </x:si>
  <x:si>
    <x:t xml:space="preserve">Rows requiring review</x:t>
  </x:si>
  <x:si>
    <x:t xml:space="preserve">Why FALSE matters: without FALSE, VLOOKUP uses approximate matching and can silently return the nearest lower key. That is safe only when the lookup column is sorted ascending and approximate matching is intentional.</x:t>
  </x:si>
  <x:si>
    <x:t xml:space="preserve">Q1 Target</x:t>
  </x:si>
  <x:si>
    <x:t xml:space="preserve">Q2 Target</x:t>
  </x:si>
  <x:si>
    <x:t xml:space="preserve">Q3 Target</x:t>
  </x:si>
  <x:si>
    <x:t xml:space="preserve">Q4 Target</x:t>
  </x:si>
  <x:si>
    <x:t xml:space="preserve">Q3 Target (HLOOKUP)</x:t>
  </x:si>
  <x:si>
    <x:t xml:space="preserve">Q4 Target (HLOOKUP)</x:t>
  </x:si>
  <x:si>
    <x:t xml:space="preserve">Two-Way Lookup Verification</x:t>
  </x:si>
  <x:si>
    <x:t xml:space="preserve">P003 / East</x:t>
  </x:si>
  <x:si>
    <x:t xml:space="preserve">P008 / South</x:t>
  </x:si>
</x:sst>
</file>

<file path=xl/styles.xml><?xml version="1.0" encoding="utf-8"?>
<x:styleSheet xmlns:x="http://schemas.openxmlformats.org/spreadsheetml/2006/main">
  <x:numFmts count="3">
    <x:numFmt numFmtId="164" formatCode="dd\-mm\-yyyy"/>
    <x:numFmt numFmtId="200" formatCode="#,##0"/>
    <x:numFmt numFmtId="201" formatCode="0%"/>
  </x:numFmts>
  <x:fonts count="8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0"/>
      <x:name val="Arial"/>
    </x:font>
    <x:font>
      <x:b/>
      <x:sz val="11"/>
      <x:color rgb="FF375623"/>
      <x:name val="Arial"/>
    </x:font>
    <x:font>
      <x:i/>
      <x:sz val="10"/>
      <x:color rgb="FF404040"/>
      <x:name val="Arial"/>
    </x:font>
    <x:font>
      <x:b/>
      <x:sz val="10"/>
      <x:color rgb="FF37562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medium">
        <x:color rgb="FF5B9BD5"/>
      </x:left>
      <x:top style="medium">
        <x:color rgb="FF5B9BD5"/>
      </x:top>
      <x:bottom style="medium">
        <x:color rgb="FF5B9BD5"/>
      </x:bottom>
    </x:border>
    <x:border>
      <x:right style="medium">
        <x:color rgb="FF5B9BD5"/>
      </x:right>
      <x:top style="medium">
        <x:color rgb="FF5B9BD5"/>
      </x:top>
      <x:bottom style="medium">
        <x:color rgb="FF5B9BD5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top style="medium">
        <x:color rgb="FF5B9BD5"/>
      </x:top>
      <x:bottom style="medium">
        <x:color rgb="FF5B9BD5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3" fontId="2" fillId="0" borderId="0" xfId="0" applyNumberFormat="1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0" fillId="0" borderId="4" xfId="0" applyBorder="1"/>
    <x:xf numFmtId="0" fontId="4" fillId="0" borderId="4" xfId="0" applyFont="1" applyBorder="1"/>
    <x:xf numFmtId="1" fontId="5" fillId="4" borderId="4" xfId="0" applyNumberFormat="1" applyFont="1" applyFill="1" applyBorder="1" applyAlignment="1">
      <x:alignment horizontal="center"/>
    </x:xf>
    <x:xf numFmtId="3" fontId="0" fillId="0" borderId="4" xfId="0" applyNumberFormat="1" applyBorder="1"/>
    <x:xf numFmtId="9" fontId="2" fillId="0" borderId="0" xfId="0" applyNumberFormat="1" applyFont="1" applyAlignment="1">
      <x:alignment vertical="center"/>
    </x:xf>
    <x:xf numFmtId="4" fontId="2" fillId="0" borderId="0" xfId="0" applyNumberFormat="1" applyFont="1" applyAlignment="1">
      <x:alignment vertical="center"/>
    </x:xf>
    <x:xf numFmtId="164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7" fillId="4" borderId="4" xfId="0" applyFont="1" applyFill="1" applyBorder="1" applyAlignment="1">
      <x:alignment horizontal="center"/>
    </x:xf>
    <x:xf numFmtId="9" fontId="7" fillId="4" borderId="4" xfId="0" applyNumberFormat="1" applyFont="1" applyFill="1" applyBorder="1" applyAlignment="1">
      <x:alignment horizontal="center"/>
    </x:xf>
    <x:xf numFmtId="0" fontId="3" fillId="3" borderId="2" xfId="0" applyFont="1" applyFill="1" applyBorder="1" applyAlignment="1">
      <x:alignment vertical="center"/>
    </x:xf>
    <x:xf numFmtId="0" fontId="3" fillId="3" borderId="3" xfId="0" applyFont="1" applyFill="1" applyBorder="1" applyAlignment="1">
      <x:alignment vertical="center"/>
    </x:xf>
    <x:xf numFmtId="0" fontId="3" fillId="3" borderId="5" xfId="0" applyFont="1" applyFill="1" applyBorder="1" applyAlignment="1">
      <x:alignment vertical="center"/>
    </x:xf>
    <x:xf numFmtId="0" fontId="4" fillId="0" borderId="4" xfId="0" applyFont="1" applyBorder="1"/>
    <x:xf numFmtId="0" fontId="0" fillId="0" borderId="4" xfId="0" applyBorder="1"/>
    <x:xf numFmtId="0" fontId="6" fillId="5" borderId="6" xfId="0" applyFont="1" applyFill="1" applyBorder="1" applyAlignment="1">
      <x:alignment vertical="center" wrapText="1"/>
    </x:xf>
    <x:xf numFmtId="0" fontId="6" fillId="5" borderId="7" xfId="0" applyFont="1" applyFill="1" applyBorder="1" applyAlignment="1">
      <x:alignment vertical="center" wrapText="1"/>
    </x:xf>
    <x:xf numFmtId="0" fontId="6" fillId="5" borderId="8" xfId="0" applyFont="1" applyFill="1" applyBorder="1" applyAlignment="1">
      <x:alignment vertical="center" wrapText="1"/>
    </x:xf>
    <x:xf numFmtId="0" fontId="6" fillId="5" borderId="9" xfId="0" applyFont="1" applyFill="1" applyBorder="1" applyAlignment="1">
      <x:alignment vertical="center" wrapText="1"/>
    </x:xf>
    <x:xf numFmtId="0" fontId="6" fillId="5" borderId="10" xfId="0" applyFont="1" applyFill="1" applyBorder="1" applyAlignment="1">
      <x:alignment vertical="center" wrapText="1"/>
    </x:xf>
    <x:xf numFmtId="0" fontId="6" fillId="5" borderId="11" xfId="0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2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/>
    <x:xf numFmtId="0" fontId="2" fillId="7" borderId="4" xfId="0" applyNumberFormat="1" applyFont="1" applyFill="1" applyBorder="1"/>
    <x:xf numFmtId="0" fontId="1" fillId="7" borderId="4" xfId="0" applyNumberFormat="1" applyFont="1" applyFill="1" applyBorder="1"/>
    <x:xf numFmtId="0" fontId="1" fillId="7" borderId="4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horizont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/>
    <x:xf numFmtId="201" fontId="2" fillId="0" borderId="4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201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1488ab0f68415b" /><Relationship Type="http://schemas.openxmlformats.org/officeDocument/2006/relationships/theme" Target="/xl/theme/theme1.xml" Id="Rf1d28fb5edff4788" /><Relationship Type="http://schemas.openxmlformats.org/officeDocument/2006/relationships/sharedStrings" Target="/xl/sharedStrings.xml" Id="R10c66180fddb4f23" /><Relationship Type="http://schemas.openxmlformats.org/officeDocument/2006/relationships/worksheet" Target="/xl/worksheets/sheet1.xml" Id="R3511e0844a064318" /><Relationship Type="http://schemas.openxmlformats.org/officeDocument/2006/relationships/worksheet" Target="/xl/worksheets/sheet2.xml" Id="Rc53b641d3fd542e3" /><Relationship Type="http://schemas.openxmlformats.org/officeDocument/2006/relationships/worksheet" Target="/xl/worksheets/sheet3.xml" Id="Rd450d883d3c6445f" /><Relationship Type="http://schemas.openxmlformats.org/officeDocument/2006/relationships/worksheet" Target="/xl/worksheets/sheet4.xml" Id="R5a3c123e293941f2" /></Relationships>
</file>

<file path=xl/tables/table1.xml><?xml version="1.0" encoding="utf-8"?>
<x:table xmlns:x="http://schemas.openxmlformats.org/spreadsheetml/2006/main" id="1" name="InventoryTable" displayName="InventoryTable" ref="A1:G21" totalsRowShown="0">
  <x:autoFilter ref="A1:G21"/>
  <x:tableColumns count="7">
    <x:tableColumn id="1" name="Product Code"/>
    <x:tableColumn id="2" name="Product Name"/>
    <x:tableColumn id="3" name="Category"/>
    <x:tableColumn id="4" name="Unit Price"/>
    <x:tableColumn id="5" name="Stock Qty"/>
    <x:tableColumn id="6" name="Reorder Level"/>
    <x:tableColumn id="7" name="Stock Vari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esLookupTable" displayName="SalesLookupTable" ref="A1:P31" totalsRowShown="0">
  <x:autoFilter ref="A1:P31"/>
  <x:tableColumns count="16">
    <x:tableColumn id="1" name="Transaction ID"/>
    <x:tableColumn id="2" name="Date"/>
    <x:tableColumn id="3" name="Product Code"/>
    <x:tableColumn id="4" name="Qty"/>
    <x:tableColumn id="5" name="Region"/>
    <x:tableColumn id="6" name="Product Name"/>
    <x:tableColumn id="7" name="Category"/>
    <x:tableColumn id="8" name="Lookup Status"/>
    <x:tableColumn id="9" name="Product Name(Index-Match)"/>
    <x:tableColumn id="10" name="Product Name (XLookup)"/>
    <x:tableColumn id="11" name="Markup %"/>
    <x:tableColumn id="12" name="Bulk-Adjusted Markup %"/>
    <x:tableColumn id="13" name="Unit Price"/>
    <x:tableColumn id="14" name="Sales Amount"/>
    <x:tableColumn id="15" name="Commission %"/>
    <x:tableColumn id="16" name="Commission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rterlyTargetsTable" displayName="QuarterlyTargetsTable" ref="A1:E5" totalsRowShown="0">
  <x:autoFilter ref="A1:E5"/>
  <x:tableColumns count="5">
    <x:tableColumn id="1" name="Region"/>
    <x:tableColumn id="2" name="Q1 Target"/>
    <x:tableColumn id="3" name="Q2 Target"/>
    <x:tableColumn id="4" name="Q3 Target"/>
    <x:tableColumn id="5" name="Q4 Targe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onalMarkupTable" displayName="RegionalMarkupTable" ref="A1:E9" totalsRowShown="0">
  <x:autoFilter ref="A1:E9"/>
  <x:tableColumns count="5">
    <x:tableColumn id="1" name="Product Code"/>
    <x:tableColumn id="2" name="North"/>
    <x:tableColumn id="3" name="South"/>
    <x:tableColumn id="4" name="East"/>
    <x:tableColumn id="5" name="W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89407e57fb49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ec4f22d93947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3190a7cf214e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72785a65c94e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23" customWidth="1"/>
    <x:col min="3" max="3" width="18" customWidth="1"/>
    <x:col min="4" max="4" width="14" customWidth="1"/>
    <x:col min="5" max="7" width="15" customWidth="1"/>
    <x:col min="9" max="9" width="23" customWidth="1"/>
    <x:col min="10" max="10" width="14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I1" s="15" t="s">
        <x:v>7</x:v>
      </x:c>
      <x:c r="J1" s="16"/>
    </x:row>
    <x:row r="2" ht="15">
      <x:c r="A2" s="4" t="s">
        <x:v>8</x:v>
      </x:c>
      <x:c r="B2" s="2" t="s">
        <x:v>9</x:v>
      </x:c>
      <x:c r="C2" s="4" t="s">
        <x:v>10</x:v>
      </x:c>
      <x:c r="D2" s="3">
        <x:v>499</x:v>
      </x:c>
      <x:c r="E2" s="3">
        <x:v>120</x:v>
      </x:c>
      <x:c r="F2" s="3">
        <x:v>30</x:v>
      </x:c>
      <x:c r="G2" s="3" t="n">
        <x:f t="shared" ref="G2:G21" si="0">E2-F2</x:f>
        <x:v>90</x:v>
      </x:c>
      <x:c r="I2" s="6" t="s">
        <x:v>11</x:v>
      </x:c>
      <x:c r="J2" s="7" t="n">
        <x:f>SUMPRODUCT(--(E2:E21&lt;F2:F21))</x:f>
        <x:v>5</x:v>
      </x:c>
    </x:row>
    <x:row r="3" ht="15">
      <x:c r="A3" s="4" t="s">
        <x:v>12</x:v>
      </x:c>
      <x:c r="B3" s="2" t="s">
        <x:v>13</x:v>
      </x:c>
      <x:c r="C3" s="4" t="s">
        <x:v>10</x:v>
      </x:c>
      <x:c r="D3" s="3">
        <x:v>149</x:v>
      </x:c>
      <x:c r="E3" s="3">
        <x:v>500</x:v>
      </x:c>
      <x:c r="F3" s="3">
        <x:v>100</x:v>
      </x:c>
      <x:c r="G3" s="3" t="n">
        <x:f t="shared" si="0">E3-F3</x:f>
        <x:v>400</x:v>
      </x:c>
      <x:c r="I3" s="6" t="s">
        <x:v>14</x:v>
      </x:c>
      <x:c r="J3" s="7" t="n">
        <x:f>COUNTIF(D2:D21,"&gt;1000")</x:f>
        <x:v>6</x:v>
      </x:c>
    </x:row>
    <x:row r="4">
      <x:c r="A4" s="4" t="s">
        <x:v>15</x:v>
      </x:c>
      <x:c r="B4" s="2" t="s">
        <x:v>16</x:v>
      </x:c>
      <x:c r="C4" s="4" t="s">
        <x:v>10</x:v>
      </x:c>
      <x:c r="D4" s="3">
        <x:v>1499</x:v>
      </x:c>
      <x:c r="E4" s="3">
        <x:v>40</x:v>
      </x:c>
      <x:c r="F4" s="3">
        <x:v>25</x:v>
      </x:c>
      <x:c r="G4" s="3" t="n">
        <x:f t="shared" si="0">E4-F4</x:f>
        <x:v>15</x:v>
      </x:c>
    </x:row>
    <x:row r="5">
      <x:c r="A5" s="4" t="s">
        <x:v>17</x:v>
      </x:c>
      <x:c r="B5" s="2" t="s">
        <x:v>18</x:v>
      </x:c>
      <x:c r="C5" s="4" t="s">
        <x:v>19</x:v>
      </x:c>
      <x:c r="D5" s="3">
        <x:v>120</x:v>
      </x:c>
      <x:c r="E5" s="3">
        <x:v>300</x:v>
      </x:c>
      <x:c r="F5" s="3">
        <x:v>50</x:v>
      </x:c>
      <x:c r="G5" s="3" t="n">
        <x:f t="shared" si="0">E5-F5</x:f>
        <x:v>250</x:v>
      </x:c>
    </x:row>
    <x:row r="6">
      <x:c r="A6" s="4" t="s">
        <x:v>20</x:v>
      </x:c>
      <x:c r="B6" s="2" t="s">
        <x:v>21</x:v>
      </x:c>
      <x:c r="C6" s="4" t="s">
        <x:v>19</x:v>
      </x:c>
      <x:c r="D6" s="3">
        <x:v>90</x:v>
      </x:c>
      <x:c r="E6" s="3">
        <x:v>8</x:v>
      </x:c>
      <x:c r="F6" s="3">
        <x:v>40</x:v>
      </x:c>
      <x:c r="G6" s="3" t="n">
        <x:f t="shared" si="0">E6-F6</x:f>
        <x:v>-32</x:v>
      </x:c>
    </x:row>
    <x:row r="7">
      <x:c r="A7" s="4" t="s">
        <x:v>22</x:v>
      </x:c>
      <x:c r="B7" s="2" t="s">
        <x:v>23</x:v>
      </x:c>
      <x:c r="C7" s="4" t="s">
        <x:v>19</x:v>
      </x:c>
      <x:c r="D7" s="3">
        <x:v>150</x:v>
      </x:c>
      <x:c r="E7" s="3">
        <x:v>60</x:v>
      </x:c>
      <x:c r="F7" s="3">
        <x:v>20</x:v>
      </x:c>
      <x:c r="G7" s="3" t="n">
        <x:f t="shared" si="0">E7-F7</x:f>
        <x:v>40</x:v>
      </x:c>
    </x:row>
    <x:row r="8">
      <x:c r="A8" s="4" t="s">
        <x:v>24</x:v>
      </x:c>
      <x:c r="B8" s="2" t="s">
        <x:v>25</x:v>
      </x:c>
      <x:c r="C8" s="4" t="s">
        <x:v>26</x:v>
      </x:c>
      <x:c r="D8" s="3">
        <x:v>199</x:v>
      </x:c>
      <x:c r="E8" s="3">
        <x:v>85</x:v>
      </x:c>
      <x:c r="F8" s="3">
        <x:v>30</x:v>
      </x:c>
      <x:c r="G8" s="3" t="n">
        <x:f t="shared" si="0">E8-F8</x:f>
        <x:v>55</x:v>
      </x:c>
    </x:row>
    <x:row r="9">
      <x:c r="A9" s="4" t="s">
        <x:v>27</x:v>
      </x:c>
      <x:c r="B9" s="2" t="s">
        <x:v>28</x:v>
      </x:c>
      <x:c r="C9" s="4" t="s">
        <x:v>26</x:v>
      </x:c>
      <x:c r="D9" s="3">
        <x:v>349</x:v>
      </x:c>
      <x:c r="E9" s="3">
        <x:v>15</x:v>
      </x:c>
      <x:c r="F9" s="3">
        <x:v>25</x:v>
      </x:c>
      <x:c r="G9" s="3" t="n">
        <x:f t="shared" si="0">E9-F9</x:f>
        <x:v>-10</x:v>
      </x:c>
    </x:row>
    <x:row r="10">
      <x:c r="A10" s="4" t="s">
        <x:v>29</x:v>
      </x:c>
      <x:c r="B10" s="2" t="s">
        <x:v>30</x:v>
      </x:c>
      <x:c r="C10" s="4" t="s">
        <x:v>26</x:v>
      </x:c>
      <x:c r="D10" s="3">
        <x:v>299</x:v>
      </x:c>
      <x:c r="E10" s="3">
        <x:v>55</x:v>
      </x:c>
      <x:c r="F10" s="3">
        <x:v>20</x:v>
      </x:c>
      <x:c r="G10" s="3" t="n">
        <x:f t="shared" si="0">E10-F10</x:f>
        <x:v>35</x:v>
      </x:c>
    </x:row>
    <x:row r="11">
      <x:c r="A11" s="4" t="s">
        <x:v>31</x:v>
      </x:c>
      <x:c r="B11" s="2" t="s">
        <x:v>32</x:v>
      </x:c>
      <x:c r="C11" s="4" t="s">
        <x:v>33</x:v>
      </x:c>
      <x:c r="D11" s="3">
        <x:v>599</x:v>
      </x:c>
      <x:c r="E11" s="3">
        <x:v>200</x:v>
      </x:c>
      <x:c r="F11" s="3">
        <x:v>40</x:v>
      </x:c>
      <x:c r="G11" s="3" t="n">
        <x:f t="shared" si="0">E11-F11</x:f>
        <x:v>160</x:v>
      </x:c>
    </x:row>
    <x:row r="12">
      <x:c r="A12" s="4" t="s">
        <x:v>34</x:v>
      </x:c>
      <x:c r="B12" s="2" t="s">
        <x:v>35</x:v>
      </x:c>
      <x:c r="C12" s="4" t="s">
        <x:v>33</x:v>
      </x:c>
      <x:c r="D12" s="3">
        <x:v>1299</x:v>
      </x:c>
      <x:c r="E12" s="3">
        <x:v>12</x:v>
      </x:c>
      <x:c r="F12" s="3">
        <x:v>20</x:v>
      </x:c>
      <x:c r="G12" s="3" t="n">
        <x:f t="shared" si="0">E12-F12</x:f>
        <x:v>-8</x:v>
      </x:c>
    </x:row>
    <x:row r="13">
      <x:c r="A13" s="4" t="s">
        <x:v>36</x:v>
      </x:c>
      <x:c r="B13" s="2" t="s">
        <x:v>37</x:v>
      </x:c>
      <x:c r="C13" s="4" t="s">
        <x:v>38</x:v>
      </x:c>
      <x:c r="D13" s="3">
        <x:v>1999</x:v>
      </x:c>
      <x:c r="E13" s="3">
        <x:v>30</x:v>
      </x:c>
      <x:c r="F13" s="3">
        <x:v>15</x:v>
      </x:c>
      <x:c r="G13" s="3" t="n">
        <x:f t="shared" si="0">E13-F13</x:f>
        <x:v>15</x:v>
      </x:c>
    </x:row>
    <x:row r="14">
      <x:c r="A14" s="4" t="s">
        <x:v>39</x:v>
      </x:c>
      <x:c r="B14" s="2" t="s">
        <x:v>40</x:v>
      </x:c>
      <x:c r="C14" s="4" t="s">
        <x:v>38</x:v>
      </x:c>
      <x:c r="D14" s="3">
        <x:v>1499</x:v>
      </x:c>
      <x:c r="E14" s="3">
        <x:v>18</x:v>
      </x:c>
      <x:c r="F14" s="3">
        <x:v>10</x:v>
      </x:c>
      <x:c r="G14" s="3" t="n">
        <x:f t="shared" si="0">E14-F14</x:f>
        <x:v>8</x:v>
      </x:c>
    </x:row>
    <x:row r="15">
      <x:c r="A15" s="4" t="s">
        <x:v>41</x:v>
      </x:c>
      <x:c r="B15" s="2" t="s">
        <x:v>42</x:v>
      </x:c>
      <x:c r="C15" s="4" t="s">
        <x:v>38</x:v>
      </x:c>
      <x:c r="D15" s="3">
        <x:v>699</x:v>
      </x:c>
      <x:c r="E15" s="3">
        <x:v>5</x:v>
      </x:c>
      <x:c r="F15" s="3">
        <x:v>20</x:v>
      </x:c>
      <x:c r="G15" s="3" t="n">
        <x:f t="shared" si="0">E15-F15</x:f>
        <x:v>-15</x:v>
      </x:c>
    </x:row>
    <x:row r="16">
      <x:c r="A16" s="4" t="s">
        <x:v>43</x:v>
      </x:c>
      <x:c r="B16" s="2" t="s">
        <x:v>44</x:v>
      </x:c>
      <x:c r="C16" s="4" t="s">
        <x:v>45</x:v>
      </x:c>
      <x:c r="D16" s="3">
        <x:v>899</x:v>
      </x:c>
      <x:c r="E16" s="3">
        <x:v>45</x:v>
      </x:c>
      <x:c r="F16" s="3">
        <x:v>15</x:v>
      </x:c>
      <x:c r="G16" s="3" t="n">
        <x:f t="shared" si="0">E16-F16</x:f>
        <x:v>30</x:v>
      </x:c>
    </x:row>
    <x:row r="17">
      <x:c r="A17" s="4" t="s">
        <x:v>46</x:v>
      </x:c>
      <x:c r="B17" s="2" t="s">
        <x:v>47</x:v>
      </x:c>
      <x:c r="C17" s="4" t="s">
        <x:v>45</x:v>
      </x:c>
      <x:c r="D17" s="3">
        <x:v>1199</x:v>
      </x:c>
      <x:c r="E17" s="3">
        <x:v>22</x:v>
      </x:c>
      <x:c r="F17" s="3">
        <x:v>15</x:v>
      </x:c>
      <x:c r="G17" s="3" t="n">
        <x:f t="shared" si="0">E17-F17</x:f>
        <x:v>7</x:v>
      </x:c>
    </x:row>
    <x:row r="18">
      <x:c r="A18" s="4" t="s">
        <x:v>48</x:v>
      </x:c>
      <x:c r="B18" s="2" t="s">
        <x:v>49</x:v>
      </x:c>
      <x:c r="C18" s="4" t="s">
        <x:v>10</x:v>
      </x:c>
      <x:c r="D18" s="3">
        <x:v>1799</x:v>
      </x:c>
      <x:c r="E18" s="3">
        <x:v>60</x:v>
      </x:c>
      <x:c r="F18" s="3">
        <x:v>20</x:v>
      </x:c>
      <x:c r="G18" s="3" t="n">
        <x:f t="shared" si="0">E18-F18</x:f>
        <x:v>40</x:v>
      </x:c>
    </x:row>
    <x:row r="19">
      <x:c r="A19" s="4" t="s">
        <x:v>50</x:v>
      </x:c>
      <x:c r="B19" s="2" t="s">
        <x:v>51</x:v>
      </x:c>
      <x:c r="C19" s="4" t="s">
        <x:v>38</x:v>
      </x:c>
      <x:c r="D19" s="3">
        <x:v>349</x:v>
      </x:c>
      <x:c r="E19" s="3">
        <x:v>90</x:v>
      </x:c>
      <x:c r="F19" s="3">
        <x:v>30</x:v>
      </x:c>
      <x:c r="G19" s="3" t="n">
        <x:f t="shared" si="0">E19-F19</x:f>
        <x:v>60</x:v>
      </x:c>
    </x:row>
    <x:row r="20">
      <x:c r="A20" s="4" t="s">
        <x:v>52</x:v>
      </x:c>
      <x:c r="B20" s="2" t="s">
        <x:v>53</x:v>
      </x:c>
      <x:c r="C20" s="4" t="s">
        <x:v>45</x:v>
      </x:c>
      <x:c r="D20" s="3">
        <x:v>749</x:v>
      </x:c>
      <x:c r="E20" s="3">
        <x:v>8</x:v>
      </x:c>
      <x:c r="F20" s="3">
        <x:v>15</x:v>
      </x:c>
      <x:c r="G20" s="3" t="n">
        <x:f t="shared" si="0">E20-F20</x:f>
        <x:v>-7</x:v>
      </x:c>
    </x:row>
    <x:row r="21">
      <x:c r="A21" s="4" t="s">
        <x:v>54</x:v>
      </x:c>
      <x:c r="B21" s="2" t="s">
        <x:v>55</x:v>
      </x:c>
      <x:c r="C21" s="4" t="s">
        <x:v>26</x:v>
      </x:c>
      <x:c r="D21" s="3">
        <x:v>899</x:v>
      </x:c>
      <x:c r="E21" s="3">
        <x:v>25</x:v>
      </x:c>
      <x:c r="F21" s="3">
        <x:v>15</x:v>
      </x:c>
      <x:c r="G21" s="3" t="n">
        <x:f t="shared" si="0">E21-F21</x:f>
        <x:v>10</x:v>
      </x:c>
    </x:row>
  </x:sheetData>
  <x:mergeCells>
    <x:mergeCell ref="I1:J1"/>
  </x:mergeCells>
  <x:conditionalFormatting sqref="D2:D2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E2:E21">
    <x:cfRule type="dataBar" priority="2">
      <x:dataBar>
        <x:cfvo type="min"/>
        <x:cfvo type="max"/>
        <x:color rgb="FF5B9BD5"/>
      </x:dataBar>
    </x:cfRule>
    <x:cfRule type="expression" dxfId="1" priority="4">
      <x:formula>E2&lt;F2</x:formula>
    </x:cfRule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{75187EE9-2A16-5A5E-76BC-21EEE32E1F4E}</x14:id>
        </x:ext>
      </x:extLst>
    </x:cfRule>
  </x:conditionalFormatting>
  <x:conditionalFormatting sqref="G2:G21">
    <x:cfRule type="iconSet" priority="3">
      <x:iconSet>
        <x:cfvo type="num" val="-9999"/>
        <x:cfvo type="num" val="0"/>
        <x:cfvo type="num" val="30"/>
      </x:iconSet>
    </x:cfRule>
  </x:conditionalFormatting>
  <x:pageMargins left="0.7" right="0.7" top="0.75" bottom="0.75" header="0.3" footer="0.3"/>
  <x:tableParts count="1">
    <x:tablePart xmlns:r="http://schemas.openxmlformats.org/officeDocument/2006/relationships" r:id="Rbf89407e57fb491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75187EE9-2A16-5A5E-76BC-21EEE32E1F4E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E2:E21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5" customWidth="1"/>
    <x:col min="2" max="2" width="13" customWidth="1"/>
    <x:col min="3" max="3" width="14" customWidth="1"/>
    <x:col min="4" max="4" width="9" customWidth="1"/>
    <x:col min="5" max="5" width="11" customWidth="1"/>
    <x:col min="6" max="7" width="19" customWidth="1"/>
    <x:col min="8" max="8" width="15" customWidth="1"/>
    <x:col min="9" max="10" width="25" customWidth="1"/>
    <x:col min="11" max="11" width="14" customWidth="1"/>
    <x:col min="12" max="12" width="22" customWidth="1"/>
    <x:col min="13" max="14" width="15" customWidth="1"/>
    <x:col min="15" max="15" width="14" customWidth="1"/>
    <x:col min="16" max="16" width="19" customWidth="1"/>
  </x:cols>
  <x:sheetData>
    <x:row r="1" ht="30" customHeight="1">
      <x:c r="A1" s="1" t="s">
        <x:v>56</x:v>
      </x:c>
      <x:c r="B1" s="1" t="s">
        <x:v>57</x:v>
      </x:c>
      <x:c r="C1" s="1" t="s">
        <x:v>0</x:v>
      </x:c>
      <x:c r="D1" s="1" t="s">
        <x:v>58</x:v>
      </x:c>
      <x:c r="E1" s="1" t="s">
        <x:v>59</x:v>
      </x:c>
      <x:c r="F1" s="1" t="s">
        <x:v>1</x:v>
      </x:c>
      <x:c r="G1" s="1" t="s">
        <x:v>2</x:v>
      </x:c>
      <x:c r="H1" s="1" t="s">
        <x:v>60</x:v>
      </x:c>
      <x:c r="I1" s="1" t="s">
        <x:v>61</x:v>
      </x:c>
      <x:c r="J1" s="1" t="s">
        <x:v>62</x:v>
      </x:c>
      <x:c r="K1" s="1" t="s">
        <x:v>63</x:v>
      </x:c>
      <x:c r="L1" s="1" t="s">
        <x:v>64</x:v>
      </x:c>
      <x:c r="M1" s="1" t="s">
        <x:v>3</x:v>
      </x:c>
      <x:c r="N1" s="1" t="s">
        <x:v>65</x:v>
      </x:c>
      <x:c r="O1" s="1" t="s">
        <x:v>66</x:v>
      </x:c>
      <x:c r="P1" s="1" t="s">
        <x:v>67</x:v>
      </x:c>
    </x:row>
    <x:row r="2">
      <x:c r="A2" s="4" t="s">
        <x:v>68</x:v>
      </x:c>
      <x:c r="B2" s="11">
        <x:v>46175</x:v>
      </x:c>
      <x:c r="C2" s="4" t="s">
        <x:v>50</x:v>
      </x:c>
      <x:c r="D2" s="12">
        <x:v>2</x:v>
      </x:c>
      <x:c r="E2" s="4" t="s">
        <x:v>69</x:v>
      </x:c>
      <x:c r="F2" s="2" t="str">
        <x:f>IFERROR(VLOOKUP(C2,Inventory!$A$2:$F$21,2,FALSE),"Product Not Found")</x:f>
        <x:v>Water Bottle</x:v>
      </x:c>
      <x:c r="G2" s="2" t="str">
        <x:f>IFERROR(VLOOKUP(C2,Inventory!$A$2:$F$21,3,FALSE),"Product Not Found")</x:f>
        <x:v>Sports</x:v>
      </x:c>
      <x:c r="H2" s="4" t="str">
        <x:f>IF(ISNA(VLOOKUP(C2,Inventory!$A$2:$F$21,2,FALSE)),"Review","OK")</x:f>
        <x:v>OK</x:v>
      </x:c>
      <x:c r="I2" s="2" t="str">
        <x:f>IFERROR(INDEX(Inventory!$B$2:$B$21,MATCH(C2,Inventory!$A$2:$A$21,0)),"Product Not Found")</x:f>
        <x:v>Water Bottle</x:v>
      </x:c>
      <x:c r="J2" s="2" t="str">
        <x:f ca="1">_xlfn.XLOOKUP(C2,'Inventory'!$A$2:$A$21,'Inventory'!$B$2:$B$21,"Product Not Found")</x:f>
        <x:v>Water Bottle</x:v>
      </x:c>
      <x:c r="K2" s="9" t="str">
        <x:f>IFERROR(INDEX(Markup!$B$2:$E$9,MATCH(C2,Markup!$A$2:$A$9,0),MATCH(E2,Markup!$B$1:$E$1,0)),"No Markup Data")</x:f>
        <x:v>No Markup Data</x:v>
      </x:c>
      <x:c r="L2" s="9" t="str">
        <x:f>IFERROR(IF(D2&gt;5,INDEX('Markup'!$B$2:$E$9,MATCH(C2,'Markup'!$A$2:$A$9,0),MATCH(E2,'Markup'!$B$1:$E$1,0))-'Markup'!$H$14,INDEX('Markup'!$B$2:$E$9,MATCH(C2,'Markup'!$A$2:$A$9,0),MATCH(E2,'Markup'!$B$1:$E$1,0))),"No Markup Data")</x:f>
        <x:v>No Markup Data</x:v>
      </x:c>
      <x:c r="M2" s="3" t="n">
        <x:f ca="1">_xlfn.XLOOKUP(C2,'Inventory'!$A$2:$A$21,'Inventory'!$D$2:$D$21,0)</x:f>
        <x:v>349</x:v>
      </x:c>
      <x:c r="N2" s="3" t="n">
        <x:f t="shared" ref="N2:N31" ca="1" si="0">D2*M2</x:f>
        <x:v>698</x:v>
      </x:c>
      <x:c r="O2" s="9" t="n">
        <x:f ca="1">VLOOKUP(N2,'Markup'!$G$7:$H$11,2,TRUE)</x:f>
        <x:v>0</x:v>
      </x:c>
      <x:c r="P2" s="10" t="n">
        <x:f t="shared" ref="P2:P31" ca="1" si="1">ROUND(N2*O2,2)</x:f>
        <x:v>0</x:v>
      </x:c>
    </x:row>
    <x:row r="3">
      <x:c r="A3" s="4" t="s">
        <x:v>70</x:v>
      </x:c>
      <x:c r="B3" s="11">
        <x:v>46220</x:v>
      </x:c>
      <x:c r="C3" s="4" t="s">
        <x:v>29</x:v>
      </x:c>
      <x:c r="D3" s="12">
        <x:v>8</x:v>
      </x:c>
      <x:c r="E3" s="4" t="s">
        <x:v>71</x:v>
      </x:c>
      <x:c r="F3" s="2" t="str">
        <x:f>IFERROR(VLOOKUP(C3,Inventory!$A$2:$F$21,2,FALSE),"Product Not Found")</x:f>
        <x:v>Lipstick</x:v>
      </x:c>
      <x:c r="G3" s="2" t="str">
        <x:f>IFERROR(VLOOKUP(C3,Inventory!$A$2:$F$21,3,FALSE),"Product Not Found")</x:f>
        <x:v>Beauty</x:v>
      </x:c>
      <x:c r="H3" s="4" t="str">
        <x:f>IF(ISNA(VLOOKUP(C3,Inventory!$A$2:$F$21,2,FALSE)),"Review","OK")</x:f>
        <x:v>OK</x:v>
      </x:c>
      <x:c r="I3" s="2" t="str">
        <x:f>IFERROR(INDEX(Inventory!$B$2:$B$21,MATCH(C3,Inventory!$A$2:$A$21,0)),"Product Not Found")</x:f>
        <x:v>Lipstick</x:v>
      </x:c>
      <x:c r="J3" s="2" t="str">
        <x:f ca="1">_xlfn.XLOOKUP(C3,'Inventory'!$A$2:$A$21,'Inventory'!$B$2:$B$21,"Product Not Found")</x:f>
        <x:v>Lipstick</x:v>
      </x:c>
      <x:c r="K3" s="9" t="str">
        <x:f>IFERROR(INDEX(Markup!$B$2:$E$9,MATCH(C3,Markup!$A$2:$A$9,0),MATCH(E3,Markup!$B$1:$E$1,0)),"No Markup Data")</x:f>
        <x:v>No Markup Data</x:v>
      </x:c>
      <x:c r="L3" s="9" t="str">
        <x:f>IFERROR(IF(D3&gt;5,INDEX('Markup'!$B$2:$E$9,MATCH(C3,'Markup'!$A$2:$A$9,0),MATCH(E3,'Markup'!$B$1:$E$1,0))-'Markup'!$H$14,INDEX('Markup'!$B$2:$E$9,MATCH(C3,'Markup'!$A$2:$A$9,0),MATCH(E3,'Markup'!$B$1:$E$1,0))),"No Markup Data")</x:f>
        <x:v>No Markup Data</x:v>
      </x:c>
      <x:c r="M3" s="3" t="n">
        <x:f ca="1">_xlfn.XLOOKUP(C3,'Inventory'!$A$2:$A$21,'Inventory'!$D$2:$D$21,0)</x:f>
        <x:v>299</x:v>
      </x:c>
      <x:c r="N3" s="3" t="n">
        <x:f t="shared" ca="1" si="0">D3*M3</x:f>
        <x:v>2392</x:v>
      </x:c>
      <x:c r="O3" s="9" t="n">
        <x:f ca="1">VLOOKUP(N3,'Markup'!$G$7:$H$11,2,TRUE)</x:f>
        <x:v>0.02</x:v>
      </x:c>
      <x:c r="P3" s="10" t="n">
        <x:f t="shared" ca="1" si="1">ROUND(N3*O3,2)</x:f>
        <x:v>47.84</x:v>
      </x:c>
    </x:row>
    <x:row r="4">
      <x:c r="A4" s="4" t="s">
        <x:v>72</x:v>
      </x:c>
      <x:c r="B4" s="11">
        <x:v>46231</x:v>
      </x:c>
      <x:c r="C4" s="4" t="s">
        <x:v>12</x:v>
      </x:c>
      <x:c r="D4" s="12">
        <x:v>2</x:v>
      </x:c>
      <x:c r="E4" s="4" t="s">
        <x:v>73</x:v>
      </x:c>
      <x:c r="F4" s="2" t="str">
        <x:f>IFERROR(VLOOKUP(C4,Inventory!$A$2:$F$21,2,FALSE),"Product Not Found")</x:f>
        <x:v>USB Cable</x:v>
      </x:c>
      <x:c r="G4" s="2" t="str">
        <x:f>IFERROR(VLOOKUP(C4,Inventory!$A$2:$F$21,3,FALSE),"Product Not Found")</x:f>
        <x:v>Electronics</x:v>
      </x:c>
      <x:c r="H4" s="4" t="str">
        <x:f>IF(ISNA(VLOOKUP(C4,Inventory!$A$2:$F$21,2,FALSE)),"Review","OK")</x:f>
        <x:v>OK</x:v>
      </x:c>
      <x:c r="I4" s="2" t="str">
        <x:f>IFERROR(INDEX(Inventory!$B$2:$B$21,MATCH(C4,Inventory!$A$2:$A$21,0)),"Product Not Found")</x:f>
        <x:v>USB Cable</x:v>
      </x:c>
      <x:c r="J4" s="2" t="str">
        <x:f ca="1">_xlfn.XLOOKUP(C4,'Inventory'!$A$2:$A$21,'Inventory'!$B$2:$B$21,"Product Not Found")</x:f>
        <x:v>USB Cable</x:v>
      </x:c>
      <x:c r="K4" s="9" t="n">
        <x:f>IFERROR(INDEX(Markup!$B$2:$E$9,MATCH(C4,Markup!$A$2:$A$9,0),MATCH(E4,Markup!$B$1:$E$1,0)),"No Markup Data")</x:f>
        <x:v>0.09</x:v>
      </x:c>
      <x:c r="L4" s="9" t="n">
        <x:f>IFERROR(IF(D4&gt;5,INDEX('Markup'!$B$2:$E$9,MATCH(C4,'Markup'!$A$2:$A$9,0),MATCH(E4,'Markup'!$B$1:$E$1,0))-'Markup'!$H$14,INDEX('Markup'!$B$2:$E$9,MATCH(C4,'Markup'!$A$2:$A$9,0),MATCH(E4,'Markup'!$B$1:$E$1,0))),"No Markup Data")</x:f>
        <x:v>0.09</x:v>
      </x:c>
      <x:c r="M4" s="3" t="n">
        <x:f ca="1">_xlfn.XLOOKUP(C4,'Inventory'!$A$2:$A$21,'Inventory'!$D$2:$D$21,0)</x:f>
        <x:v>149</x:v>
      </x:c>
      <x:c r="N4" s="3" t="n">
        <x:f t="shared" ca="1" si="0">D4*M4</x:f>
        <x:v>298</x:v>
      </x:c>
      <x:c r="O4" s="9" t="n">
        <x:f ca="1">VLOOKUP(N4,'Markup'!$G$7:$H$11,2,TRUE)</x:f>
        <x:v>0</x:v>
      </x:c>
      <x:c r="P4" s="10" t="n">
        <x:f t="shared" ca="1" si="1">ROUND(N4*O4,2)</x:f>
        <x:v>0</x:v>
      </x:c>
    </x:row>
    <x:row r="5">
      <x:c r="A5" s="4" t="s">
        <x:v>74</x:v>
      </x:c>
      <x:c r="B5" s="11">
        <x:v>46209</x:v>
      </x:c>
      <x:c r="C5" s="4" t="s">
        <x:v>41</x:v>
      </x:c>
      <x:c r="D5" s="12">
        <x:v>1</x:v>
      </x:c>
      <x:c r="E5" s="4" t="s">
        <x:v>75</x:v>
      </x:c>
      <x:c r="F5" s="2" t="str">
        <x:f>IFERROR(VLOOKUP(C5,Inventory!$A$2:$F$21,2,FALSE),"Product Not Found")</x:f>
        <x:v>Yoga Mat</x:v>
      </x:c>
      <x:c r="G5" s="2" t="str">
        <x:f>IFERROR(VLOOKUP(C5,Inventory!$A$2:$F$21,3,FALSE),"Product Not Found")</x:f>
        <x:v>Sports</x:v>
      </x:c>
      <x:c r="H5" s="4" t="str">
        <x:f>IF(ISNA(VLOOKUP(C5,Inventory!$A$2:$F$21,2,FALSE)),"Review","OK")</x:f>
        <x:v>OK</x:v>
      </x:c>
      <x:c r="I5" s="2" t="str">
        <x:f>IFERROR(INDEX(Inventory!$B$2:$B$21,MATCH(C5,Inventory!$A$2:$A$21,0)),"Product Not Found")</x:f>
        <x:v>Yoga Mat</x:v>
      </x:c>
      <x:c r="J5" s="2" t="str">
        <x:f ca="1">_xlfn.XLOOKUP(C5,'Inventory'!$A$2:$A$21,'Inventory'!$B$2:$B$21,"Product Not Found")</x:f>
        <x:v>Yoga Mat</x:v>
      </x:c>
      <x:c r="K5" s="9" t="str">
        <x:f>IFERROR(INDEX(Markup!$B$2:$E$9,MATCH(C5,Markup!$A$2:$A$9,0),MATCH(E5,Markup!$B$1:$E$1,0)),"No Markup Data")</x:f>
        <x:v>No Markup Data</x:v>
      </x:c>
      <x:c r="L5" s="9" t="str">
        <x:f>IFERROR(IF(D5&gt;5,INDEX('Markup'!$B$2:$E$9,MATCH(C5,'Markup'!$A$2:$A$9,0),MATCH(E5,'Markup'!$B$1:$E$1,0))-'Markup'!$H$14,INDEX('Markup'!$B$2:$E$9,MATCH(C5,'Markup'!$A$2:$A$9,0),MATCH(E5,'Markup'!$B$1:$E$1,0))),"No Markup Data")</x:f>
        <x:v>No Markup Data</x:v>
      </x:c>
      <x:c r="M5" s="3" t="n">
        <x:f ca="1">_xlfn.XLOOKUP(C5,'Inventory'!$A$2:$A$21,'Inventory'!$D$2:$D$21,0)</x:f>
        <x:v>699</x:v>
      </x:c>
      <x:c r="N5" s="3" t="n">
        <x:f t="shared" ca="1" si="0">D5*M5</x:f>
        <x:v>699</x:v>
      </x:c>
      <x:c r="O5" s="9" t="n">
        <x:f ca="1">VLOOKUP(N5,'Markup'!$G$7:$H$11,2,TRUE)</x:f>
        <x:v>0</x:v>
      </x:c>
      <x:c r="P5" s="10" t="n">
        <x:f t="shared" ca="1" si="1">ROUND(N5*O5,2)</x:f>
        <x:v>0</x:v>
      </x:c>
    </x:row>
    <x:row r="6">
      <x:c r="A6" s="4" t="s">
        <x:v>76</x:v>
      </x:c>
      <x:c r="B6" s="11">
        <x:v>46228</x:v>
      </x:c>
      <x:c r="C6" s="4" t="s">
        <x:v>27</x:v>
      </x:c>
      <x:c r="D6" s="12">
        <x:v>7</x:v>
      </x:c>
      <x:c r="E6" s="4" t="s">
        <x:v>69</x:v>
      </x:c>
      <x:c r="F6" s="2" t="str">
        <x:f>IFERROR(VLOOKUP(C6,Inventory!$A$2:$F$21,2,FALSE),"Product Not Found")</x:f>
        <x:v>Moisturizer</x:v>
      </x:c>
      <x:c r="G6" s="2" t="str">
        <x:f>IFERROR(VLOOKUP(C6,Inventory!$A$2:$F$21,3,FALSE),"Product Not Found")</x:f>
        <x:v>Beauty</x:v>
      </x:c>
      <x:c r="H6" s="4" t="str">
        <x:f>IF(ISNA(VLOOKUP(C6,Inventory!$A$2:$F$21,2,FALSE)),"Review","OK")</x:f>
        <x:v>OK</x:v>
      </x:c>
      <x:c r="I6" s="2" t="str">
        <x:f>IFERROR(INDEX(Inventory!$B$2:$B$21,MATCH(C6,Inventory!$A$2:$A$21,0)),"Product Not Found")</x:f>
        <x:v>Moisturizer</x:v>
      </x:c>
      <x:c r="J6" s="2" t="str">
        <x:f ca="1">_xlfn.XLOOKUP(C6,'Inventory'!$A$2:$A$21,'Inventory'!$B$2:$B$21,"Product Not Found")</x:f>
        <x:v>Moisturizer</x:v>
      </x:c>
      <x:c r="K6" s="9" t="n">
        <x:f>IFERROR(INDEX(Markup!$B$2:$E$9,MATCH(C6,Markup!$A$2:$A$9,0),MATCH(E6,Markup!$B$1:$E$1,0)),"No Markup Data")</x:f>
        <x:v>0.09</x:v>
      </x:c>
      <x:c r="L6" s="9" t="n">
        <x:f>IFERROR(IF(D6&gt;5,INDEX('Markup'!$B$2:$E$9,MATCH(C6,'Markup'!$A$2:$A$9,0),MATCH(E6,'Markup'!$B$1:$E$1,0))-'Markup'!$H$14,INDEX('Markup'!$B$2:$E$9,MATCH(C6,'Markup'!$A$2:$A$9,0),MATCH(E6,'Markup'!$B$1:$E$1,0))),"No Markup Data")</x:f>
        <x:v>0.06999999999999999</x:v>
      </x:c>
      <x:c r="M6" s="3" t="n">
        <x:f ca="1">_xlfn.XLOOKUP(C6,'Inventory'!$A$2:$A$21,'Inventory'!$D$2:$D$21,0)</x:f>
        <x:v>349</x:v>
      </x:c>
      <x:c r="N6" s="3" t="n">
        <x:f t="shared" ca="1" si="0">D6*M6</x:f>
        <x:v>2443</x:v>
      </x:c>
      <x:c r="O6" s="9" t="n">
        <x:f ca="1">VLOOKUP(N6,'Markup'!$G$7:$H$11,2,TRUE)</x:f>
        <x:v>0.02</x:v>
      </x:c>
      <x:c r="P6" s="10" t="n">
        <x:f t="shared" ca="1" si="1">ROUND(N6*O6,2)</x:f>
        <x:v>48.86</x:v>
      </x:c>
    </x:row>
    <x:row r="7">
      <x:c r="A7" s="4" t="s">
        <x:v>77</x:v>
      </x:c>
      <x:c r="B7" s="11">
        <x:v>46175</x:v>
      </x:c>
      <x:c r="C7" s="4" t="s">
        <x:v>41</x:v>
      </x:c>
      <x:c r="D7" s="12">
        <x:v>2</x:v>
      </x:c>
      <x:c r="E7" s="4" t="s">
        <x:v>69</x:v>
      </x:c>
      <x:c r="F7" s="2" t="str">
        <x:f>IFERROR(VLOOKUP(C7,Inventory!$A$2:$F$21,2,FALSE),"Product Not Found")</x:f>
        <x:v>Yoga Mat</x:v>
      </x:c>
      <x:c r="G7" s="2" t="str">
        <x:f>IFERROR(VLOOKUP(C7,Inventory!$A$2:$F$21,3,FALSE),"Product Not Found")</x:f>
        <x:v>Sports</x:v>
      </x:c>
      <x:c r="H7" s="4" t="str">
        <x:f>IF(ISNA(VLOOKUP(C7,Inventory!$A$2:$F$21,2,FALSE)),"Review","OK")</x:f>
        <x:v>OK</x:v>
      </x:c>
      <x:c r="I7" s="2" t="str">
        <x:f>IFERROR(INDEX(Inventory!$B$2:$B$21,MATCH(C7,Inventory!$A$2:$A$21,0)),"Product Not Found")</x:f>
        <x:v>Yoga Mat</x:v>
      </x:c>
      <x:c r="J7" s="2" t="str">
        <x:f ca="1">_xlfn.XLOOKUP(C7,'Inventory'!$A$2:$A$21,'Inventory'!$B$2:$B$21,"Product Not Found")</x:f>
        <x:v>Yoga Mat</x:v>
      </x:c>
      <x:c r="K7" s="9" t="str">
        <x:f>IFERROR(INDEX(Markup!$B$2:$E$9,MATCH(C7,Markup!$A$2:$A$9,0),MATCH(E7,Markup!$B$1:$E$1,0)),"No Markup Data")</x:f>
        <x:v>No Markup Data</x:v>
      </x:c>
      <x:c r="L7" s="9" t="str">
        <x:f>IFERROR(IF(D7&gt;5,INDEX('Markup'!$B$2:$E$9,MATCH(C7,'Markup'!$A$2:$A$9,0),MATCH(E7,'Markup'!$B$1:$E$1,0))-'Markup'!$H$14,INDEX('Markup'!$B$2:$E$9,MATCH(C7,'Markup'!$A$2:$A$9,0),MATCH(E7,'Markup'!$B$1:$E$1,0))),"No Markup Data")</x:f>
        <x:v>No Markup Data</x:v>
      </x:c>
      <x:c r="M7" s="3" t="n">
        <x:f ca="1">_xlfn.XLOOKUP(C7,'Inventory'!$A$2:$A$21,'Inventory'!$D$2:$D$21,0)</x:f>
        <x:v>699</x:v>
      </x:c>
      <x:c r="N7" s="3" t="n">
        <x:f t="shared" ca="1" si="0">D7*M7</x:f>
        <x:v>1398</x:v>
      </x:c>
      <x:c r="O7" s="9" t="n">
        <x:f ca="1">VLOOKUP(N7,'Markup'!$G$7:$H$11,2,TRUE)</x:f>
        <x:v>0.02</x:v>
      </x:c>
      <x:c r="P7" s="10" t="n">
        <x:f t="shared" ca="1" si="1">ROUND(N7*O7,2)</x:f>
        <x:v>27.96</x:v>
      </x:c>
    </x:row>
    <x:row r="8">
      <x:c r="A8" s="4" t="s">
        <x:v>78</x:v>
      </x:c>
      <x:c r="B8" s="11">
        <x:v>46206</x:v>
      </x:c>
      <x:c r="C8" s="4" t="s">
        <x:v>34</x:v>
      </x:c>
      <x:c r="D8" s="12">
        <x:v>8</x:v>
      </x:c>
      <x:c r="E8" s="4" t="s">
        <x:v>71</x:v>
      </x:c>
      <x:c r="F8" s="2" t="str">
        <x:f>IFERROR(VLOOKUP(C8,Inventory!$A$2:$F$21,2,FALSE),"Product Not Found")</x:f>
        <x:v>Denim Jeans</x:v>
      </x:c>
      <x:c r="G8" s="2" t="str">
        <x:f>IFERROR(VLOOKUP(C8,Inventory!$A$2:$F$21,3,FALSE),"Product Not Found")</x:f>
        <x:v>Apparel</x:v>
      </x:c>
      <x:c r="H8" s="4" t="str">
        <x:f>IF(ISNA(VLOOKUP(C8,Inventory!$A$2:$F$21,2,FALSE)),"Review","OK")</x:f>
        <x:v>OK</x:v>
      </x:c>
      <x:c r="I8" s="2" t="str">
        <x:f>IFERROR(INDEX(Inventory!$B$2:$B$21,MATCH(C8,Inventory!$A$2:$A$21,0)),"Product Not Found")</x:f>
        <x:v>Denim Jeans</x:v>
      </x:c>
      <x:c r="J8" s="2" t="str">
        <x:f ca="1">_xlfn.XLOOKUP(C8,'Inventory'!$A$2:$A$21,'Inventory'!$B$2:$B$21,"Product Not Found")</x:f>
        <x:v>Denim Jeans</x:v>
      </x:c>
      <x:c r="K8" s="9" t="str">
        <x:f>IFERROR(INDEX(Markup!$B$2:$E$9,MATCH(C8,Markup!$A$2:$A$9,0),MATCH(E8,Markup!$B$1:$E$1,0)),"No Markup Data")</x:f>
        <x:v>No Markup Data</x:v>
      </x:c>
      <x:c r="L8" s="9" t="str">
        <x:f>IFERROR(IF(D8&gt;5,INDEX('Markup'!$B$2:$E$9,MATCH(C8,'Markup'!$A$2:$A$9,0),MATCH(E8,'Markup'!$B$1:$E$1,0))-'Markup'!$H$14,INDEX('Markup'!$B$2:$E$9,MATCH(C8,'Markup'!$A$2:$A$9,0),MATCH(E8,'Markup'!$B$1:$E$1,0))),"No Markup Data")</x:f>
        <x:v>No Markup Data</x:v>
      </x:c>
      <x:c r="M8" s="3" t="n">
        <x:f ca="1">_xlfn.XLOOKUP(C8,'Inventory'!$A$2:$A$21,'Inventory'!$D$2:$D$21,0)</x:f>
        <x:v>1299</x:v>
      </x:c>
      <x:c r="N8" s="3" t="n">
        <x:f t="shared" ca="1" si="0">D8*M8</x:f>
        <x:v>10392</x:v>
      </x:c>
      <x:c r="O8" s="9" t="n">
        <x:f ca="1">VLOOKUP(N8,'Markup'!$G$7:$H$11,2,TRUE)</x:f>
        <x:v>0.07</x:v>
      </x:c>
      <x:c r="P8" s="10" t="n">
        <x:f t="shared" ca="1" si="1">ROUND(N8*O8,2)</x:f>
        <x:v>727.44</x:v>
      </x:c>
    </x:row>
    <x:row r="9">
      <x:c r="A9" s="4" t="s">
        <x:v>79</x:v>
      </x:c>
      <x:c r="B9" s="11">
        <x:v>46234</x:v>
      </x:c>
      <x:c r="C9" s="4" t="s">
        <x:v>27</x:v>
      </x:c>
      <x:c r="D9" s="12">
        <x:v>3</x:v>
      </x:c>
      <x:c r="E9" s="4" t="s">
        <x:v>71</x:v>
      </x:c>
      <x:c r="F9" s="2" t="str">
        <x:f>IFERROR(VLOOKUP(C9,Inventory!$A$2:$F$21,2,FALSE),"Product Not Found")</x:f>
        <x:v>Moisturizer</x:v>
      </x:c>
      <x:c r="G9" s="2" t="str">
        <x:f>IFERROR(VLOOKUP(C9,Inventory!$A$2:$F$21,3,FALSE),"Product Not Found")</x:f>
        <x:v>Beauty</x:v>
      </x:c>
      <x:c r="H9" s="4" t="str">
        <x:f>IF(ISNA(VLOOKUP(C9,Inventory!$A$2:$F$21,2,FALSE)),"Review","OK")</x:f>
        <x:v>OK</x:v>
      </x:c>
      <x:c r="I9" s="2" t="str">
        <x:f>IFERROR(INDEX(Inventory!$B$2:$B$21,MATCH(C9,Inventory!$A$2:$A$21,0)),"Product Not Found")</x:f>
        <x:v>Moisturizer</x:v>
      </x:c>
      <x:c r="J9" s="2" t="str">
        <x:f ca="1">_xlfn.XLOOKUP(C9,'Inventory'!$A$2:$A$21,'Inventory'!$B$2:$B$21,"Product Not Found")</x:f>
        <x:v>Moisturizer</x:v>
      </x:c>
      <x:c r="K9" s="9" t="n">
        <x:f>IFERROR(INDEX(Markup!$B$2:$E$9,MATCH(C9,Markup!$A$2:$A$9,0),MATCH(E9,Markup!$B$1:$E$1,0)),"No Markup Data")</x:f>
        <x:v>0.06</x:v>
      </x:c>
      <x:c r="L9" s="9" t="n">
        <x:f>IFERROR(IF(D9&gt;5,INDEX('Markup'!$B$2:$E$9,MATCH(C9,'Markup'!$A$2:$A$9,0),MATCH(E9,'Markup'!$B$1:$E$1,0))-'Markup'!$H$14,INDEX('Markup'!$B$2:$E$9,MATCH(C9,'Markup'!$A$2:$A$9,0),MATCH(E9,'Markup'!$B$1:$E$1,0))),"No Markup Data")</x:f>
        <x:v>0.06</x:v>
      </x:c>
      <x:c r="M9" s="3" t="n">
        <x:f ca="1">_xlfn.XLOOKUP(C9,'Inventory'!$A$2:$A$21,'Inventory'!$D$2:$D$21,0)</x:f>
        <x:v>349</x:v>
      </x:c>
      <x:c r="N9" s="3" t="n">
        <x:f t="shared" ca="1" si="0">D9*M9</x:f>
        <x:v>1047</x:v>
      </x:c>
      <x:c r="O9" s="9" t="n">
        <x:f ca="1">VLOOKUP(N9,'Markup'!$G$7:$H$11,2,TRUE)</x:f>
        <x:v>0.02</x:v>
      </x:c>
      <x:c r="P9" s="10" t="n">
        <x:f t="shared" ca="1" si="1">ROUND(N9*O9,2)</x:f>
        <x:v>20.94</x:v>
      </x:c>
    </x:row>
    <x:row r="10">
      <x:c r="A10" s="4" t="s">
        <x:v>80</x:v>
      </x:c>
      <x:c r="B10" s="11">
        <x:v>46195</x:v>
      </x:c>
      <x:c r="C10" s="4" t="s">
        <x:v>27</x:v>
      </x:c>
      <x:c r="D10" s="12">
        <x:v>1</x:v>
      </x:c>
      <x:c r="E10" s="4" t="s">
        <x:v>71</x:v>
      </x:c>
      <x:c r="F10" s="2" t="str">
        <x:f>IFERROR(VLOOKUP(C10,Inventory!$A$2:$F$21,2,FALSE),"Product Not Found")</x:f>
        <x:v>Moisturizer</x:v>
      </x:c>
      <x:c r="G10" s="2" t="str">
        <x:f>IFERROR(VLOOKUP(C10,Inventory!$A$2:$F$21,3,FALSE),"Product Not Found")</x:f>
        <x:v>Beauty</x:v>
      </x:c>
      <x:c r="H10" s="4" t="str">
        <x:f>IF(ISNA(VLOOKUP(C10,Inventory!$A$2:$F$21,2,FALSE)),"Review","OK")</x:f>
        <x:v>OK</x:v>
      </x:c>
      <x:c r="I10" s="2" t="str">
        <x:f>IFERROR(INDEX(Inventory!$B$2:$B$21,MATCH(C10,Inventory!$A$2:$A$21,0)),"Product Not Found")</x:f>
        <x:v>Moisturizer</x:v>
      </x:c>
      <x:c r="J10" s="2" t="str">
        <x:f ca="1">_xlfn.XLOOKUP(C10,'Inventory'!$A$2:$A$21,'Inventory'!$B$2:$B$21,"Product Not Found")</x:f>
        <x:v>Moisturizer</x:v>
      </x:c>
      <x:c r="K10" s="9" t="n">
        <x:f>IFERROR(INDEX(Markup!$B$2:$E$9,MATCH(C10,Markup!$A$2:$A$9,0),MATCH(E10,Markup!$B$1:$E$1,0)),"No Markup Data")</x:f>
        <x:v>0.06</x:v>
      </x:c>
      <x:c r="L10" s="9" t="n">
        <x:f>IFERROR(IF(D10&gt;5,INDEX('Markup'!$B$2:$E$9,MATCH(C10,'Markup'!$A$2:$A$9,0),MATCH(E10,'Markup'!$B$1:$E$1,0))-'Markup'!$H$14,INDEX('Markup'!$B$2:$E$9,MATCH(C10,'Markup'!$A$2:$A$9,0),MATCH(E10,'Markup'!$B$1:$E$1,0))),"No Markup Data")</x:f>
        <x:v>0.06</x:v>
      </x:c>
      <x:c r="M10" s="3" t="n">
        <x:f ca="1">_xlfn.XLOOKUP(C10,'Inventory'!$A$2:$A$21,'Inventory'!$D$2:$D$21,0)</x:f>
        <x:v>349</x:v>
      </x:c>
      <x:c r="N10" s="3" t="n">
        <x:f t="shared" ca="1" si="0">D10*M10</x:f>
        <x:v>349</x:v>
      </x:c>
      <x:c r="O10" s="9" t="n">
        <x:f ca="1">VLOOKUP(N10,'Markup'!$G$7:$H$11,2,TRUE)</x:f>
        <x:v>0</x:v>
      </x:c>
      <x:c r="P10" s="10" t="n">
        <x:f t="shared" ca="1" si="1">ROUND(N10*O10,2)</x:f>
        <x:v>0</x:v>
      </x:c>
    </x:row>
    <x:row r="11">
      <x:c r="A11" s="4" t="s">
        <x:v>81</x:v>
      </x:c>
      <x:c r="B11" s="11">
        <x:v>46206</x:v>
      </x:c>
      <x:c r="C11" s="4" t="s">
        <x:v>52</x:v>
      </x:c>
      <x:c r="D11" s="12">
        <x:v>7</x:v>
      </x:c>
      <x:c r="E11" s="4" t="s">
        <x:v>69</x:v>
      </x:c>
      <x:c r="F11" s="2" t="str">
        <x:f>IFERROR(VLOOKUP(C11,Inventory!$A$2:$F$21,2,FALSE),"Product Not Found")</x:f>
        <x:v>Table Lamp</x:v>
      </x:c>
      <x:c r="G11" s="2" t="str">
        <x:f>IFERROR(VLOOKUP(C11,Inventory!$A$2:$F$21,3,FALSE),"Product Not Found")</x:f>
        <x:v>Home &amp; Kitchen</x:v>
      </x:c>
      <x:c r="H11" s="4" t="str">
        <x:f>IF(ISNA(VLOOKUP(C11,Inventory!$A$2:$F$21,2,FALSE)),"Review","OK")</x:f>
        <x:v>OK</x:v>
      </x:c>
      <x:c r="I11" s="2" t="str">
        <x:f>IFERROR(INDEX(Inventory!$B$2:$B$21,MATCH(C11,Inventory!$A$2:$A$21,0)),"Product Not Found")</x:f>
        <x:v>Table Lamp</x:v>
      </x:c>
      <x:c r="J11" s="2" t="str">
        <x:f ca="1">_xlfn.XLOOKUP(C11,'Inventory'!$A$2:$A$21,'Inventory'!$B$2:$B$21,"Product Not Found")</x:f>
        <x:v>Table Lamp</x:v>
      </x:c>
      <x:c r="K11" s="9" t="str">
        <x:f>IFERROR(INDEX(Markup!$B$2:$E$9,MATCH(C11,Markup!$A$2:$A$9,0),MATCH(E11,Markup!$B$1:$E$1,0)),"No Markup Data")</x:f>
        <x:v>No Markup Data</x:v>
      </x:c>
      <x:c r="L11" s="9" t="str">
        <x:f>IFERROR(IF(D11&gt;5,INDEX('Markup'!$B$2:$E$9,MATCH(C11,'Markup'!$A$2:$A$9,0),MATCH(E11,'Markup'!$B$1:$E$1,0))-'Markup'!$H$14,INDEX('Markup'!$B$2:$E$9,MATCH(C11,'Markup'!$A$2:$A$9,0),MATCH(E11,'Markup'!$B$1:$E$1,0))),"No Markup Data")</x:f>
        <x:v>No Markup Data</x:v>
      </x:c>
      <x:c r="M11" s="3" t="n">
        <x:f ca="1">_xlfn.XLOOKUP(C11,'Inventory'!$A$2:$A$21,'Inventory'!$D$2:$D$21,0)</x:f>
        <x:v>749</x:v>
      </x:c>
      <x:c r="N11" s="3" t="n">
        <x:f t="shared" ca="1" si="0">D11*M11</x:f>
        <x:v>5243</x:v>
      </x:c>
      <x:c r="O11" s="9" t="n">
        <x:f ca="1">VLOOKUP(N11,'Markup'!$G$7:$H$11,2,TRUE)</x:f>
        <x:v>0.05</x:v>
      </x:c>
      <x:c r="P11" s="10" t="n">
        <x:f t="shared" ca="1" si="1">ROUND(N11*O11,2)</x:f>
        <x:v>262.15</x:v>
      </x:c>
    </x:row>
    <x:row r="12">
      <x:c r="A12" s="4" t="s">
        <x:v>82</x:v>
      </x:c>
      <x:c r="B12" s="11">
        <x:v>46185</x:v>
      </x:c>
      <x:c r="C12" s="4" t="s">
        <x:v>39</x:v>
      </x:c>
      <x:c r="D12" s="12">
        <x:v>6</x:v>
      </x:c>
      <x:c r="E12" s="4" t="s">
        <x:v>75</x:v>
      </x:c>
      <x:c r="F12" s="2" t="str">
        <x:f>IFERROR(VLOOKUP(C12,Inventory!$A$2:$F$21,2,FALSE),"Product Not Found")</x:f>
        <x:v>Cricket Bat</x:v>
      </x:c>
      <x:c r="G12" s="2" t="str">
        <x:f>IFERROR(VLOOKUP(C12,Inventory!$A$2:$F$21,3,FALSE),"Product Not Found")</x:f>
        <x:v>Sports</x:v>
      </x:c>
      <x:c r="H12" s="4" t="str">
        <x:f>IF(ISNA(VLOOKUP(C12,Inventory!$A$2:$F$21,2,FALSE)),"Review","OK")</x:f>
        <x:v>OK</x:v>
      </x:c>
      <x:c r="I12" s="2" t="str">
        <x:f>IFERROR(INDEX(Inventory!$B$2:$B$21,MATCH(C12,Inventory!$A$2:$A$21,0)),"Product Not Found")</x:f>
        <x:v>Cricket Bat</x:v>
      </x:c>
      <x:c r="J12" s="2" t="str">
        <x:f ca="1">_xlfn.XLOOKUP(C12,'Inventory'!$A$2:$A$21,'Inventory'!$B$2:$B$21,"Product Not Found")</x:f>
        <x:v>Cricket Bat</x:v>
      </x:c>
      <x:c r="K12" s="9" t="str">
        <x:f>IFERROR(INDEX(Markup!$B$2:$E$9,MATCH(C12,Markup!$A$2:$A$9,0),MATCH(E12,Markup!$B$1:$E$1,0)),"No Markup Data")</x:f>
        <x:v>No Markup Data</x:v>
      </x:c>
      <x:c r="L12" s="9" t="str">
        <x:f>IFERROR(IF(D12&gt;5,INDEX('Markup'!$B$2:$E$9,MATCH(C12,'Markup'!$A$2:$A$9,0),MATCH(E12,'Markup'!$B$1:$E$1,0))-'Markup'!$H$14,INDEX('Markup'!$B$2:$E$9,MATCH(C12,'Markup'!$A$2:$A$9,0),MATCH(E12,'Markup'!$B$1:$E$1,0))),"No Markup Data")</x:f>
        <x:v>No Markup Data</x:v>
      </x:c>
      <x:c r="M12" s="3" t="n">
        <x:f ca="1">_xlfn.XLOOKUP(C12,'Inventory'!$A$2:$A$21,'Inventory'!$D$2:$D$21,0)</x:f>
        <x:v>1499</x:v>
      </x:c>
      <x:c r="N12" s="3" t="n">
        <x:f t="shared" ca="1" si="0">D12*M12</x:f>
        <x:v>8994</x:v>
      </x:c>
      <x:c r="O12" s="9" t="n">
        <x:f ca="1">VLOOKUP(N12,'Markup'!$G$7:$H$11,2,TRUE)</x:f>
        <x:v>0.05</x:v>
      </x:c>
      <x:c r="P12" s="10" t="n">
        <x:f t="shared" ca="1" si="1">ROUND(N12*O12,2)</x:f>
        <x:v>449.7</x:v>
      </x:c>
    </x:row>
    <x:row r="13">
      <x:c r="A13" s="4" t="s">
        <x:v>83</x:v>
      </x:c>
      <x:c r="B13" s="11">
        <x:v>46195</x:v>
      </x:c>
      <x:c r="C13" s="4" t="s">
        <x:v>84</x:v>
      </x:c>
      <x:c r="D13" s="12">
        <x:v>2</x:v>
      </x:c>
      <x:c r="E13" s="4" t="s">
        <x:v>73</x:v>
      </x:c>
      <x:c r="F13" s="2" t="str">
        <x:f>IFERROR(VLOOKUP(C13,Inventory!$A$2:$F$21,2,FALSE),"Product Not Found")</x:f>
        <x:v>Product Not Found</x:v>
      </x:c>
      <x:c r="G13" s="2" t="str">
        <x:f>IFERROR(VLOOKUP(C13,Inventory!$A$2:$F$21,3,FALSE),"Product Not Found")</x:f>
        <x:v>Product Not Found</x:v>
      </x:c>
      <x:c r="H13" s="4" t="str">
        <x:f>IF(ISNA(VLOOKUP(C13,Inventory!$A$2:$F$21,2,FALSE)),"Review","OK")</x:f>
        <x:v>Review</x:v>
      </x:c>
      <x:c r="I13" s="2" t="str">
        <x:f>IFERROR(INDEX(Inventory!$B$2:$B$21,MATCH(C13,Inventory!$A$2:$A$21,0)),"Product Not Found")</x:f>
        <x:v>Product Not Found</x:v>
      </x:c>
      <x:c r="J13" s="2" t="str">
        <x:f ca="1">_xlfn.XLOOKUP(C13,'Inventory'!$A$2:$A$21,'Inventory'!$B$2:$B$21,"Product Not Found")</x:f>
        <x:v>Product Not Found</x:v>
      </x:c>
      <x:c r="K13" s="9" t="str">
        <x:f>IFERROR(INDEX(Markup!$B$2:$E$9,MATCH(C13,Markup!$A$2:$A$9,0),MATCH(E13,Markup!$B$1:$E$1,0)),"No Markup Data")</x:f>
        <x:v>No Markup Data</x:v>
      </x:c>
      <x:c r="L13" s="9" t="str">
        <x:f>IFERROR(IF(D13&gt;5,INDEX('Markup'!$B$2:$E$9,MATCH(C13,'Markup'!$A$2:$A$9,0),MATCH(E13,'Markup'!$B$1:$E$1,0))-'Markup'!$H$14,INDEX('Markup'!$B$2:$E$9,MATCH(C13,'Markup'!$A$2:$A$9,0),MATCH(E13,'Markup'!$B$1:$E$1,0))),"No Markup Data")</x:f>
        <x:v>No Markup Data</x:v>
      </x:c>
      <x:c r="M13" s="3" t="n">
        <x:f ca="1">_xlfn.XLOOKUP(C13,'Inventory'!$A$2:$A$21,'Inventory'!$D$2:$D$21,0)</x:f>
        <x:v>0</x:v>
      </x:c>
      <x:c r="N13" s="3" t="n">
        <x:f t="shared" ca="1" si="0">D13*M13</x:f>
        <x:v>0</x:v>
      </x:c>
      <x:c r="O13" s="9" t="n">
        <x:f ca="1">VLOOKUP(N13,'Markup'!$G$7:$H$11,2,TRUE)</x:f>
        <x:v>0</x:v>
      </x:c>
      <x:c r="P13" s="10" t="n">
        <x:f t="shared" ca="1" si="1">ROUND(N13*O13,2)</x:f>
        <x:v>0</x:v>
      </x:c>
    </x:row>
    <x:row r="14">
      <x:c r="A14" s="4" t="s">
        <x:v>85</x:v>
      </x:c>
      <x:c r="B14" s="11">
        <x:v>46233</x:v>
      </x:c>
      <x:c r="C14" s="4" t="s">
        <x:v>86</x:v>
      </x:c>
      <x:c r="D14" s="12">
        <x:v>5</x:v>
      </x:c>
      <x:c r="E14" s="4" t="s">
        <x:v>71</x:v>
      </x:c>
      <x:c r="F14" s="2" t="str">
        <x:f>IFERROR(VLOOKUP(C14,Inventory!$A$2:$F$21,2,FALSE),"Product Not Found")</x:f>
        <x:v>Product Not Found</x:v>
      </x:c>
      <x:c r="G14" s="2" t="str">
        <x:f>IFERROR(VLOOKUP(C14,Inventory!$A$2:$F$21,3,FALSE),"Product Not Found")</x:f>
        <x:v>Product Not Found</x:v>
      </x:c>
      <x:c r="H14" s="4" t="str">
        <x:f>IF(ISNA(VLOOKUP(C14,Inventory!$A$2:$F$21,2,FALSE)),"Review","OK")</x:f>
        <x:v>Review</x:v>
      </x:c>
      <x:c r="I14" s="2" t="str">
        <x:f>IFERROR(INDEX(Inventory!$B$2:$B$21,MATCH(C14,Inventory!$A$2:$A$21,0)),"Product Not Found")</x:f>
        <x:v>Product Not Found</x:v>
      </x:c>
      <x:c r="J14" s="2" t="str">
        <x:f ca="1">_xlfn.XLOOKUP(C14,'Inventory'!$A$2:$A$21,'Inventory'!$B$2:$B$21,"Product Not Found")</x:f>
        <x:v>Product Not Found</x:v>
      </x:c>
      <x:c r="K14" s="9" t="str">
        <x:f>IFERROR(INDEX(Markup!$B$2:$E$9,MATCH(C14,Markup!$A$2:$A$9,0),MATCH(E14,Markup!$B$1:$E$1,0)),"No Markup Data")</x:f>
        <x:v>No Markup Data</x:v>
      </x:c>
      <x:c r="L14" s="9" t="str">
        <x:f>IFERROR(IF(D14&gt;5,INDEX('Markup'!$B$2:$E$9,MATCH(C14,'Markup'!$A$2:$A$9,0),MATCH(E14,'Markup'!$B$1:$E$1,0))-'Markup'!$H$14,INDEX('Markup'!$B$2:$E$9,MATCH(C14,'Markup'!$A$2:$A$9,0),MATCH(E14,'Markup'!$B$1:$E$1,0))),"No Markup Data")</x:f>
        <x:v>No Markup Data</x:v>
      </x:c>
      <x:c r="M14" s="3" t="n">
        <x:f ca="1">_xlfn.XLOOKUP(C14,'Inventory'!$A$2:$A$21,'Inventory'!$D$2:$D$21,0)</x:f>
        <x:v>0</x:v>
      </x:c>
      <x:c r="N14" s="3" t="n">
        <x:f t="shared" ca="1" si="0">D14*M14</x:f>
        <x:v>0</x:v>
      </x:c>
      <x:c r="O14" s="9" t="n">
        <x:f ca="1">VLOOKUP(N14,'Markup'!$G$7:$H$11,2,TRUE)</x:f>
        <x:v>0</x:v>
      </x:c>
      <x:c r="P14" s="10" t="n">
        <x:f t="shared" ca="1" si="1">ROUND(N14*O14,2)</x:f>
        <x:v>0</x:v>
      </x:c>
    </x:row>
    <x:row r="15">
      <x:c r="A15" s="4" t="s">
        <x:v>87</x:v>
      </x:c>
      <x:c r="B15" s="11">
        <x:v>46193</x:v>
      </x:c>
      <x:c r="C15" s="4" t="s">
        <x:v>31</x:v>
      </x:c>
      <x:c r="D15" s="12">
        <x:v>3</x:v>
      </x:c>
      <x:c r="E15" s="4" t="s">
        <x:v>71</x:v>
      </x:c>
      <x:c r="F15" s="2" t="str">
        <x:f>IFERROR(VLOOKUP(C15,Inventory!$A$2:$F$21,2,FALSE),"Product Not Found")</x:f>
        <x:v>Cotton T-Shirt</x:v>
      </x:c>
      <x:c r="G15" s="2" t="str">
        <x:f>IFERROR(VLOOKUP(C15,Inventory!$A$2:$F$21,3,FALSE),"Product Not Found")</x:f>
        <x:v>Apparel</x:v>
      </x:c>
      <x:c r="H15" s="4" t="str">
        <x:f>IF(ISNA(VLOOKUP(C15,Inventory!$A$2:$F$21,2,FALSE)),"Review","OK")</x:f>
        <x:v>OK</x:v>
      </x:c>
      <x:c r="I15" s="2" t="str">
        <x:f>IFERROR(INDEX(Inventory!$B$2:$B$21,MATCH(C15,Inventory!$A$2:$A$21,0)),"Product Not Found")</x:f>
        <x:v>Cotton T-Shirt</x:v>
      </x:c>
      <x:c r="J15" s="2" t="str">
        <x:f ca="1">_xlfn.XLOOKUP(C15,'Inventory'!$A$2:$A$21,'Inventory'!$B$2:$B$21,"Product Not Found")</x:f>
        <x:v>Cotton T-Shirt</x:v>
      </x:c>
      <x:c r="K15" s="9" t="str">
        <x:f>IFERROR(INDEX(Markup!$B$2:$E$9,MATCH(C15,Markup!$A$2:$A$9,0),MATCH(E15,Markup!$B$1:$E$1,0)),"No Markup Data")</x:f>
        <x:v>No Markup Data</x:v>
      </x:c>
      <x:c r="L15" s="9" t="str">
        <x:f>IFERROR(IF(D15&gt;5,INDEX('Markup'!$B$2:$E$9,MATCH(C15,'Markup'!$A$2:$A$9,0),MATCH(E15,'Markup'!$B$1:$E$1,0))-'Markup'!$H$14,INDEX('Markup'!$B$2:$E$9,MATCH(C15,'Markup'!$A$2:$A$9,0),MATCH(E15,'Markup'!$B$1:$E$1,0))),"No Markup Data")</x:f>
        <x:v>No Markup Data</x:v>
      </x:c>
      <x:c r="M15" s="3" t="n">
        <x:f ca="1">_xlfn.XLOOKUP(C15,'Inventory'!$A$2:$A$21,'Inventory'!$D$2:$D$21,0)</x:f>
        <x:v>599</x:v>
      </x:c>
      <x:c r="N15" s="3" t="n">
        <x:f t="shared" ca="1" si="0">D15*M15</x:f>
        <x:v>1797</x:v>
      </x:c>
      <x:c r="O15" s="9" t="n">
        <x:f ca="1">VLOOKUP(N15,'Markup'!$G$7:$H$11,2,TRUE)</x:f>
        <x:v>0.02</x:v>
      </x:c>
      <x:c r="P15" s="10" t="n">
        <x:f t="shared" ca="1" si="1">ROUND(N15*O15,2)</x:f>
        <x:v>35.94</x:v>
      </x:c>
    </x:row>
    <x:row r="16">
      <x:c r="A16" s="4" t="s">
        <x:v>88</x:v>
      </x:c>
      <x:c r="B16" s="11">
        <x:v>46179</x:v>
      </x:c>
      <x:c r="C16" s="4" t="s">
        <x:v>89</x:v>
      </x:c>
      <x:c r="D16" s="12">
        <x:v>2</x:v>
      </x:c>
      <x:c r="E16" s="4" t="s">
        <x:v>71</x:v>
      </x:c>
      <x:c r="F16" s="2" t="str">
        <x:f>IFERROR(VLOOKUP(C16,Inventory!$A$2:$F$21,2,FALSE),"Product Not Found")</x:f>
        <x:v>Product Not Found</x:v>
      </x:c>
      <x:c r="G16" s="2" t="str">
        <x:f>IFERROR(VLOOKUP(C16,Inventory!$A$2:$F$21,3,FALSE),"Product Not Found")</x:f>
        <x:v>Product Not Found</x:v>
      </x:c>
      <x:c r="H16" s="4" t="str">
        <x:f>IF(ISNA(VLOOKUP(C16,Inventory!$A$2:$F$21,2,FALSE)),"Review","OK")</x:f>
        <x:v>Review</x:v>
      </x:c>
      <x:c r="I16" s="2" t="str">
        <x:f>IFERROR(INDEX(Inventory!$B$2:$B$21,MATCH(C16,Inventory!$A$2:$A$21,0)),"Product Not Found")</x:f>
        <x:v>Product Not Found</x:v>
      </x:c>
      <x:c r="J16" s="2" t="str">
        <x:f ca="1">_xlfn.XLOOKUP(C16,'Inventory'!$A$2:$A$21,'Inventory'!$B$2:$B$21,"Product Not Found")</x:f>
        <x:v>Product Not Found</x:v>
      </x:c>
      <x:c r="K16" s="9" t="str">
        <x:f>IFERROR(INDEX(Markup!$B$2:$E$9,MATCH(C16,Markup!$A$2:$A$9,0),MATCH(E16,Markup!$B$1:$E$1,0)),"No Markup Data")</x:f>
        <x:v>No Markup Data</x:v>
      </x:c>
      <x:c r="L16" s="9" t="str">
        <x:f>IFERROR(IF(D16&gt;5,INDEX('Markup'!$B$2:$E$9,MATCH(C16,'Markup'!$A$2:$A$9,0),MATCH(E16,'Markup'!$B$1:$E$1,0))-'Markup'!$H$14,INDEX('Markup'!$B$2:$E$9,MATCH(C16,'Markup'!$A$2:$A$9,0),MATCH(E16,'Markup'!$B$1:$E$1,0))),"No Markup Data")</x:f>
        <x:v>No Markup Data</x:v>
      </x:c>
      <x:c r="M16" s="3" t="n">
        <x:f ca="1">_xlfn.XLOOKUP(C16,'Inventory'!$A$2:$A$21,'Inventory'!$D$2:$D$21,0)</x:f>
        <x:v>0</x:v>
      </x:c>
      <x:c r="N16" s="3" t="n">
        <x:f t="shared" ca="1" si="0">D16*M16</x:f>
        <x:v>0</x:v>
      </x:c>
      <x:c r="O16" s="9" t="n">
        <x:f ca="1">VLOOKUP(N16,'Markup'!$G$7:$H$11,2,TRUE)</x:f>
        <x:v>0</x:v>
      </x:c>
      <x:c r="P16" s="10" t="n">
        <x:f t="shared" ca="1" si="1">ROUND(N16*O16,2)</x:f>
        <x:v>0</x:v>
      </x:c>
    </x:row>
    <x:row r="17">
      <x:c r="A17" s="4" t="s">
        <x:v>90</x:v>
      </x:c>
      <x:c r="B17" s="11">
        <x:v>46183</x:v>
      </x:c>
      <x:c r="C17" s="4" t="s">
        <x:v>8</x:v>
      </x:c>
      <x:c r="D17" s="12">
        <x:v>4</x:v>
      </x:c>
      <x:c r="E17" s="4" t="s">
        <x:v>71</x:v>
      </x:c>
      <x:c r="F17" s="2" t="str">
        <x:f>IFERROR(VLOOKUP(C17,Inventory!$A$2:$F$21,2,FALSE),"Product Not Found")</x:f>
        <x:v>Wireless Mouse</x:v>
      </x:c>
      <x:c r="G17" s="2" t="str">
        <x:f>IFERROR(VLOOKUP(C17,Inventory!$A$2:$F$21,3,FALSE),"Product Not Found")</x:f>
        <x:v>Electronics</x:v>
      </x:c>
      <x:c r="H17" s="4" t="str">
        <x:f>IF(ISNA(VLOOKUP(C17,Inventory!$A$2:$F$21,2,FALSE)),"Review","OK")</x:f>
        <x:v>OK</x:v>
      </x:c>
      <x:c r="I17" s="2" t="str">
        <x:f>IFERROR(INDEX(Inventory!$B$2:$B$21,MATCH(C17,Inventory!$A$2:$A$21,0)),"Product Not Found")</x:f>
        <x:v>Wireless Mouse</x:v>
      </x:c>
      <x:c r="J17" s="2" t="str">
        <x:f ca="1">_xlfn.XLOOKUP(C17,'Inventory'!$A$2:$A$21,'Inventory'!$B$2:$B$21,"Product Not Found")</x:f>
        <x:v>Wireless Mouse</x:v>
      </x:c>
      <x:c r="K17" s="9" t="n">
        <x:f>IFERROR(INDEX(Markup!$B$2:$E$9,MATCH(C17,Markup!$A$2:$A$9,0),MATCH(E17,Markup!$B$1:$E$1,0)),"No Markup Data")</x:f>
        <x:v>0.1</x:v>
      </x:c>
      <x:c r="L17" s="9" t="n">
        <x:f>IFERROR(IF(D17&gt;5,INDEX('Markup'!$B$2:$E$9,MATCH(C17,'Markup'!$A$2:$A$9,0),MATCH(E17,'Markup'!$B$1:$E$1,0))-'Markup'!$H$14,INDEX('Markup'!$B$2:$E$9,MATCH(C17,'Markup'!$A$2:$A$9,0),MATCH(E17,'Markup'!$B$1:$E$1,0))),"No Markup Data")</x:f>
        <x:v>0.1</x:v>
      </x:c>
      <x:c r="M17" s="3" t="n">
        <x:f ca="1">_xlfn.XLOOKUP(C17,'Inventory'!$A$2:$A$21,'Inventory'!$D$2:$D$21,0)</x:f>
        <x:v>499</x:v>
      </x:c>
      <x:c r="N17" s="3" t="n">
        <x:f t="shared" ca="1" si="0">D17*M17</x:f>
        <x:v>1996</x:v>
      </x:c>
      <x:c r="O17" s="9" t="n">
        <x:f ca="1">VLOOKUP(N17,'Markup'!$G$7:$H$11,2,TRUE)</x:f>
        <x:v>0.02</x:v>
      </x:c>
      <x:c r="P17" s="10" t="n">
        <x:f t="shared" ca="1" si="1">ROUND(N17*O17,2)</x:f>
        <x:v>39.92</x:v>
      </x:c>
    </x:row>
    <x:row r="18">
      <x:c r="A18" s="4" t="s">
        <x:v>91</x:v>
      </x:c>
      <x:c r="B18" s="11">
        <x:v>46214</x:v>
      </x:c>
      <x:c r="C18" s="4" t="s">
        <x:v>8</x:v>
      </x:c>
      <x:c r="D18" s="12">
        <x:v>7</x:v>
      </x:c>
      <x:c r="E18" s="4" t="s">
        <x:v>73</x:v>
      </x:c>
      <x:c r="F18" s="2" t="str">
        <x:f>IFERROR(VLOOKUP(C18,Inventory!$A$2:$F$21,2,FALSE),"Product Not Found")</x:f>
        <x:v>Wireless Mouse</x:v>
      </x:c>
      <x:c r="G18" s="2" t="str">
        <x:f>IFERROR(VLOOKUP(C18,Inventory!$A$2:$F$21,3,FALSE),"Product Not Found")</x:f>
        <x:v>Electronics</x:v>
      </x:c>
      <x:c r="H18" s="4" t="str">
        <x:f>IF(ISNA(VLOOKUP(C18,Inventory!$A$2:$F$21,2,FALSE)),"Review","OK")</x:f>
        <x:v>OK</x:v>
      </x:c>
      <x:c r="I18" s="2" t="str">
        <x:f>IFERROR(INDEX(Inventory!$B$2:$B$21,MATCH(C18,Inventory!$A$2:$A$21,0)),"Product Not Found")</x:f>
        <x:v>Wireless Mouse</x:v>
      </x:c>
      <x:c r="J18" s="2" t="str">
        <x:f ca="1">_xlfn.XLOOKUP(C18,'Inventory'!$A$2:$A$21,'Inventory'!$B$2:$B$21,"Product Not Found")</x:f>
        <x:v>Wireless Mouse</x:v>
      </x:c>
      <x:c r="K18" s="9" t="n">
        <x:f>IFERROR(INDEX(Markup!$B$2:$E$9,MATCH(C18,Markup!$A$2:$A$9,0),MATCH(E18,Markup!$B$1:$E$1,0)),"No Markup Data")</x:f>
        <x:v>0.08</x:v>
      </x:c>
      <x:c r="L18" s="9" t="n">
        <x:f>IFERROR(IF(D18&gt;5,INDEX('Markup'!$B$2:$E$9,MATCH(C18,'Markup'!$A$2:$A$9,0),MATCH(E18,'Markup'!$B$1:$E$1,0))-'Markup'!$H$14,INDEX('Markup'!$B$2:$E$9,MATCH(C18,'Markup'!$A$2:$A$9,0),MATCH(E18,'Markup'!$B$1:$E$1,0))),"No Markup Data")</x:f>
        <x:v>0.06</x:v>
      </x:c>
      <x:c r="M18" s="3" t="n">
        <x:f ca="1">_xlfn.XLOOKUP(C18,'Inventory'!$A$2:$A$21,'Inventory'!$D$2:$D$21,0)</x:f>
        <x:v>499</x:v>
      </x:c>
      <x:c r="N18" s="3" t="n">
        <x:f t="shared" ca="1" si="0">D18*M18</x:f>
        <x:v>3493</x:v>
      </x:c>
      <x:c r="O18" s="9" t="n">
        <x:f ca="1">VLOOKUP(N18,'Markup'!$G$7:$H$11,2,TRUE)</x:f>
        <x:v>0.03</x:v>
      </x:c>
      <x:c r="P18" s="10" t="n">
        <x:f t="shared" ca="1" si="1">ROUND(N18*O18,2)</x:f>
        <x:v>104.79</x:v>
      </x:c>
    </x:row>
    <x:row r="19">
      <x:c r="A19" s="4" t="s">
        <x:v>92</x:v>
      </x:c>
      <x:c r="B19" s="11">
        <x:v>46202</x:v>
      </x:c>
      <x:c r="C19" s="4" t="s">
        <x:v>29</x:v>
      </x:c>
      <x:c r="D19" s="12">
        <x:v>3</x:v>
      </x:c>
      <x:c r="E19" s="4" t="s">
        <x:v>69</x:v>
      </x:c>
      <x:c r="F19" s="2" t="str">
        <x:f>IFERROR(VLOOKUP(C19,Inventory!$A$2:$F$21,2,FALSE),"Product Not Found")</x:f>
        <x:v>Lipstick</x:v>
      </x:c>
      <x:c r="G19" s="2" t="str">
        <x:f>IFERROR(VLOOKUP(C19,Inventory!$A$2:$F$21,3,FALSE),"Product Not Found")</x:f>
        <x:v>Beauty</x:v>
      </x:c>
      <x:c r="H19" s="4" t="str">
        <x:f>IF(ISNA(VLOOKUP(C19,Inventory!$A$2:$F$21,2,FALSE)),"Review","OK")</x:f>
        <x:v>OK</x:v>
      </x:c>
      <x:c r="I19" s="2" t="str">
        <x:f>IFERROR(INDEX(Inventory!$B$2:$B$21,MATCH(C19,Inventory!$A$2:$A$21,0)),"Product Not Found")</x:f>
        <x:v>Lipstick</x:v>
      </x:c>
      <x:c r="J19" s="2" t="str">
        <x:f ca="1">_xlfn.XLOOKUP(C19,'Inventory'!$A$2:$A$21,'Inventory'!$B$2:$B$21,"Product Not Found")</x:f>
        <x:v>Lipstick</x:v>
      </x:c>
      <x:c r="K19" s="9" t="str">
        <x:f>IFERROR(INDEX(Markup!$B$2:$E$9,MATCH(C19,Markup!$A$2:$A$9,0),MATCH(E19,Markup!$B$1:$E$1,0)),"No Markup Data")</x:f>
        <x:v>No Markup Data</x:v>
      </x:c>
      <x:c r="L19" s="9" t="str">
        <x:f>IFERROR(IF(D19&gt;5,INDEX('Markup'!$B$2:$E$9,MATCH(C19,'Markup'!$A$2:$A$9,0),MATCH(E19,'Markup'!$B$1:$E$1,0))-'Markup'!$H$14,INDEX('Markup'!$B$2:$E$9,MATCH(C19,'Markup'!$A$2:$A$9,0),MATCH(E19,'Markup'!$B$1:$E$1,0))),"No Markup Data")</x:f>
        <x:v>No Markup Data</x:v>
      </x:c>
      <x:c r="M19" s="3" t="n">
        <x:f ca="1">_xlfn.XLOOKUP(C19,'Inventory'!$A$2:$A$21,'Inventory'!$D$2:$D$21,0)</x:f>
        <x:v>299</x:v>
      </x:c>
      <x:c r="N19" s="3" t="n">
        <x:f t="shared" ca="1" si="0">D19*M19</x:f>
        <x:v>897</x:v>
      </x:c>
      <x:c r="O19" s="9" t="n">
        <x:f ca="1">VLOOKUP(N19,'Markup'!$G$7:$H$11,2,TRUE)</x:f>
        <x:v>0</x:v>
      </x:c>
      <x:c r="P19" s="10" t="n">
        <x:f t="shared" ca="1" si="1">ROUND(N19*O19,2)</x:f>
        <x:v>0</x:v>
      </x:c>
    </x:row>
    <x:row r="20">
      <x:c r="A20" s="4" t="s">
        <x:v>93</x:v>
      </x:c>
      <x:c r="B20" s="11">
        <x:v>46183</x:v>
      </x:c>
      <x:c r="C20" s="4" t="s">
        <x:v>39</x:v>
      </x:c>
      <x:c r="D20" s="12">
        <x:v>1</x:v>
      </x:c>
      <x:c r="E20" s="4" t="s">
        <x:v>73</x:v>
      </x:c>
      <x:c r="F20" s="2" t="str">
        <x:f>IFERROR(VLOOKUP(C20,Inventory!$A$2:$F$21,2,FALSE),"Product Not Found")</x:f>
        <x:v>Cricket Bat</x:v>
      </x:c>
      <x:c r="G20" s="2" t="str">
        <x:f>IFERROR(VLOOKUP(C20,Inventory!$A$2:$F$21,3,FALSE),"Product Not Found")</x:f>
        <x:v>Sports</x:v>
      </x:c>
      <x:c r="H20" s="4" t="str">
        <x:f>IF(ISNA(VLOOKUP(C20,Inventory!$A$2:$F$21,2,FALSE)),"Review","OK")</x:f>
        <x:v>OK</x:v>
      </x:c>
      <x:c r="I20" s="2" t="str">
        <x:f>IFERROR(INDEX(Inventory!$B$2:$B$21,MATCH(C20,Inventory!$A$2:$A$21,0)),"Product Not Found")</x:f>
        <x:v>Cricket Bat</x:v>
      </x:c>
      <x:c r="J20" s="2" t="str">
        <x:f ca="1">_xlfn.XLOOKUP(C20,'Inventory'!$A$2:$A$21,'Inventory'!$B$2:$B$21,"Product Not Found")</x:f>
        <x:v>Cricket Bat</x:v>
      </x:c>
      <x:c r="K20" s="9" t="str">
        <x:f>IFERROR(INDEX(Markup!$B$2:$E$9,MATCH(C20,Markup!$A$2:$A$9,0),MATCH(E20,Markup!$B$1:$E$1,0)),"No Markup Data")</x:f>
        <x:v>No Markup Data</x:v>
      </x:c>
      <x:c r="L20" s="9" t="str">
        <x:f>IFERROR(IF(D20&gt;5,INDEX('Markup'!$B$2:$E$9,MATCH(C20,'Markup'!$A$2:$A$9,0),MATCH(E20,'Markup'!$B$1:$E$1,0))-'Markup'!$H$14,INDEX('Markup'!$B$2:$E$9,MATCH(C20,'Markup'!$A$2:$A$9,0),MATCH(E20,'Markup'!$B$1:$E$1,0))),"No Markup Data")</x:f>
        <x:v>No Markup Data</x:v>
      </x:c>
      <x:c r="M20" s="3" t="n">
        <x:f ca="1">_xlfn.XLOOKUP(C20,'Inventory'!$A$2:$A$21,'Inventory'!$D$2:$D$21,0)</x:f>
        <x:v>1499</x:v>
      </x:c>
      <x:c r="N20" s="3" t="n">
        <x:f t="shared" ca="1" si="0">D20*M20</x:f>
        <x:v>1499</x:v>
      </x:c>
      <x:c r="O20" s="9" t="n">
        <x:f ca="1">VLOOKUP(N20,'Markup'!$G$7:$H$11,2,TRUE)</x:f>
        <x:v>0.02</x:v>
      </x:c>
      <x:c r="P20" s="10" t="n">
        <x:f t="shared" ca="1" si="1">ROUND(N20*O20,2)</x:f>
        <x:v>29.98</x:v>
      </x:c>
    </x:row>
    <x:row r="21">
      <x:c r="A21" s="4" t="s">
        <x:v>94</x:v>
      </x:c>
      <x:c r="B21" s="11">
        <x:v>46211</x:v>
      </x:c>
      <x:c r="C21" s="4" t="s">
        <x:v>24</x:v>
      </x:c>
      <x:c r="D21" s="12">
        <x:v>2</x:v>
      </x:c>
      <x:c r="E21" s="4" t="s">
        <x:v>73</x:v>
      </x:c>
      <x:c r="F21" s="2" t="str">
        <x:f>IFERROR(VLOOKUP(C21,Inventory!$A$2:$F$21,2,FALSE),"Product Not Found")</x:f>
        <x:v>Face Wash</x:v>
      </x:c>
      <x:c r="G21" s="2" t="str">
        <x:f>IFERROR(VLOOKUP(C21,Inventory!$A$2:$F$21,3,FALSE),"Product Not Found")</x:f>
        <x:v>Beauty</x:v>
      </x:c>
      <x:c r="H21" s="4" t="str">
        <x:f>IF(ISNA(VLOOKUP(C21,Inventory!$A$2:$F$21,2,FALSE)),"Review","OK")</x:f>
        <x:v>OK</x:v>
      </x:c>
      <x:c r="I21" s="2" t="str">
        <x:f>IFERROR(INDEX(Inventory!$B$2:$B$21,MATCH(C21,Inventory!$A$2:$A$21,0)),"Product Not Found")</x:f>
        <x:v>Face Wash</x:v>
      </x:c>
      <x:c r="J21" s="2" t="str">
        <x:f ca="1">_xlfn.XLOOKUP(C21,'Inventory'!$A$2:$A$21,'Inventory'!$B$2:$B$21,"Product Not Found")</x:f>
        <x:v>Face Wash</x:v>
      </x:c>
      <x:c r="K21" s="9" t="n">
        <x:f>IFERROR(INDEX(Markup!$B$2:$E$9,MATCH(C21,Markup!$A$2:$A$9,0),MATCH(E21,Markup!$B$1:$E$1,0)),"No Markup Data")</x:f>
        <x:v>0.1</x:v>
      </x:c>
      <x:c r="L21" s="9" t="n">
        <x:f>IFERROR(IF(D21&gt;5,INDEX('Markup'!$B$2:$E$9,MATCH(C21,'Markup'!$A$2:$A$9,0),MATCH(E21,'Markup'!$B$1:$E$1,0))-'Markup'!$H$14,INDEX('Markup'!$B$2:$E$9,MATCH(C21,'Markup'!$A$2:$A$9,0),MATCH(E21,'Markup'!$B$1:$E$1,0))),"No Markup Data")</x:f>
        <x:v>0.1</x:v>
      </x:c>
      <x:c r="M21" s="3" t="n">
        <x:f ca="1">_xlfn.XLOOKUP(C21,'Inventory'!$A$2:$A$21,'Inventory'!$D$2:$D$21,0)</x:f>
        <x:v>199</x:v>
      </x:c>
      <x:c r="N21" s="3" t="n">
        <x:f t="shared" ca="1" si="0">D21*M21</x:f>
        <x:v>398</x:v>
      </x:c>
      <x:c r="O21" s="9" t="n">
        <x:f ca="1">VLOOKUP(N21,'Markup'!$G$7:$H$11,2,TRUE)</x:f>
        <x:v>0</x:v>
      </x:c>
      <x:c r="P21" s="10" t="n">
        <x:f t="shared" ca="1" si="1">ROUND(N21*O21,2)</x:f>
        <x:v>0</x:v>
      </x:c>
    </x:row>
    <x:row r="22">
      <x:c r="A22" s="4" t="s">
        <x:v>95</x:v>
      </x:c>
      <x:c r="B22" s="11">
        <x:v>46197</x:v>
      </x:c>
      <x:c r="C22" s="4" t="s">
        <x:v>41</x:v>
      </x:c>
      <x:c r="D22" s="12">
        <x:v>8</x:v>
      </x:c>
      <x:c r="E22" s="4" t="s">
        <x:v>73</x:v>
      </x:c>
      <x:c r="F22" s="2" t="str">
        <x:f>IFERROR(VLOOKUP(C22,Inventory!$A$2:$F$21,2,FALSE),"Product Not Found")</x:f>
        <x:v>Yoga Mat</x:v>
      </x:c>
      <x:c r="G22" s="2" t="str">
        <x:f>IFERROR(VLOOKUP(C22,Inventory!$A$2:$F$21,3,FALSE),"Product Not Found")</x:f>
        <x:v>Sports</x:v>
      </x:c>
      <x:c r="H22" s="4" t="str">
        <x:f>IF(ISNA(VLOOKUP(C22,Inventory!$A$2:$F$21,2,FALSE)),"Review","OK")</x:f>
        <x:v>OK</x:v>
      </x:c>
      <x:c r="I22" s="2" t="str">
        <x:f>IFERROR(INDEX(Inventory!$B$2:$B$21,MATCH(C22,Inventory!$A$2:$A$21,0)),"Product Not Found")</x:f>
        <x:v>Yoga Mat</x:v>
      </x:c>
      <x:c r="J22" s="2" t="str">
        <x:f ca="1">_xlfn.XLOOKUP(C22,'Inventory'!$A$2:$A$21,'Inventory'!$B$2:$B$21,"Product Not Found")</x:f>
        <x:v>Yoga Mat</x:v>
      </x:c>
      <x:c r="K22" s="9" t="str">
        <x:f>IFERROR(INDEX(Markup!$B$2:$E$9,MATCH(C22,Markup!$A$2:$A$9,0),MATCH(E22,Markup!$B$1:$E$1,0)),"No Markup Data")</x:f>
        <x:v>No Markup Data</x:v>
      </x:c>
      <x:c r="L22" s="9" t="str">
        <x:f>IFERROR(IF(D22&gt;5,INDEX('Markup'!$B$2:$E$9,MATCH(C22,'Markup'!$A$2:$A$9,0),MATCH(E22,'Markup'!$B$1:$E$1,0))-'Markup'!$H$14,INDEX('Markup'!$B$2:$E$9,MATCH(C22,'Markup'!$A$2:$A$9,0),MATCH(E22,'Markup'!$B$1:$E$1,0))),"No Markup Data")</x:f>
        <x:v>No Markup Data</x:v>
      </x:c>
      <x:c r="M22" s="3" t="n">
        <x:f ca="1">_xlfn.XLOOKUP(C22,'Inventory'!$A$2:$A$21,'Inventory'!$D$2:$D$21,0)</x:f>
        <x:v>699</x:v>
      </x:c>
      <x:c r="N22" s="3" t="n">
        <x:f t="shared" ca="1" si="0">D22*M22</x:f>
        <x:v>5592</x:v>
      </x:c>
      <x:c r="O22" s="9" t="n">
        <x:f ca="1">VLOOKUP(N22,'Markup'!$G$7:$H$11,2,TRUE)</x:f>
        <x:v>0.05</x:v>
      </x:c>
      <x:c r="P22" s="10" t="n">
        <x:f t="shared" ca="1" si="1">ROUND(N22*O22,2)</x:f>
        <x:v>279.6</x:v>
      </x:c>
    </x:row>
    <x:row r="23">
      <x:c r="A23" s="4" t="s">
        <x:v>96</x:v>
      </x:c>
      <x:c r="B23" s="11">
        <x:v>46231</x:v>
      </x:c>
      <x:c r="C23" s="4" t="s">
        <x:v>24</x:v>
      </x:c>
      <x:c r="D23" s="12">
        <x:v>4</x:v>
      </x:c>
      <x:c r="E23" s="4" t="s">
        <x:v>69</x:v>
      </x:c>
      <x:c r="F23" s="2" t="str">
        <x:f>IFERROR(VLOOKUP(C23,Inventory!$A$2:$F$21,2,FALSE),"Product Not Found")</x:f>
        <x:v>Face Wash</x:v>
      </x:c>
      <x:c r="G23" s="2" t="str">
        <x:f>IFERROR(VLOOKUP(C23,Inventory!$A$2:$F$21,3,FALSE),"Product Not Found")</x:f>
        <x:v>Beauty</x:v>
      </x:c>
      <x:c r="H23" s="4" t="str">
        <x:f>IF(ISNA(VLOOKUP(C23,Inventory!$A$2:$F$21,2,FALSE)),"Review","OK")</x:f>
        <x:v>OK</x:v>
      </x:c>
      <x:c r="I23" s="2" t="str">
        <x:f>IFERROR(INDEX(Inventory!$B$2:$B$21,MATCH(C23,Inventory!$A$2:$A$21,0)),"Product Not Found")</x:f>
        <x:v>Face Wash</x:v>
      </x:c>
      <x:c r="J23" s="2" t="str">
        <x:f ca="1">_xlfn.XLOOKUP(C23,'Inventory'!$A$2:$A$21,'Inventory'!$B$2:$B$21,"Product Not Found")</x:f>
        <x:v>Face Wash</x:v>
      </x:c>
      <x:c r="K23" s="9" t="n">
        <x:f>IFERROR(INDEX(Markup!$B$2:$E$9,MATCH(C23,Markup!$A$2:$A$9,0),MATCH(E23,Markup!$B$1:$E$1,0)),"No Markup Data")</x:f>
        <x:v>0.08</x:v>
      </x:c>
      <x:c r="L23" s="9" t="n">
        <x:f>IFERROR(IF(D23&gt;5,INDEX('Markup'!$B$2:$E$9,MATCH(C23,'Markup'!$A$2:$A$9,0),MATCH(E23,'Markup'!$B$1:$E$1,0))-'Markup'!$H$14,INDEX('Markup'!$B$2:$E$9,MATCH(C23,'Markup'!$A$2:$A$9,0),MATCH(E23,'Markup'!$B$1:$E$1,0))),"No Markup Data")</x:f>
        <x:v>0.08</x:v>
      </x:c>
      <x:c r="M23" s="3" t="n">
        <x:f ca="1">_xlfn.XLOOKUP(C23,'Inventory'!$A$2:$A$21,'Inventory'!$D$2:$D$21,0)</x:f>
        <x:v>199</x:v>
      </x:c>
      <x:c r="N23" s="3" t="n">
        <x:f t="shared" ca="1" si="0">D23*M23</x:f>
        <x:v>796</x:v>
      </x:c>
      <x:c r="O23" s="9" t="n">
        <x:f ca="1">VLOOKUP(N23,'Markup'!$G$7:$H$11,2,TRUE)</x:f>
        <x:v>0</x:v>
      </x:c>
      <x:c r="P23" s="10" t="n">
        <x:f t="shared" ca="1" si="1">ROUND(N23*O23,2)</x:f>
        <x:v>0</x:v>
      </x:c>
    </x:row>
    <x:row r="24">
      <x:c r="A24" s="4" t="s">
        <x:v>97</x:v>
      </x:c>
      <x:c r="B24" s="11">
        <x:v>46219</x:v>
      </x:c>
      <x:c r="C24" s="4" t="s">
        <x:v>34</x:v>
      </x:c>
      <x:c r="D24" s="12">
        <x:v>8</x:v>
      </x:c>
      <x:c r="E24" s="4" t="s">
        <x:v>69</x:v>
      </x:c>
      <x:c r="F24" s="2" t="str">
        <x:f>IFERROR(VLOOKUP(C24,Inventory!$A$2:$F$21,2,FALSE),"Product Not Found")</x:f>
        <x:v>Denim Jeans</x:v>
      </x:c>
      <x:c r="G24" s="2" t="str">
        <x:f>IFERROR(VLOOKUP(C24,Inventory!$A$2:$F$21,3,FALSE),"Product Not Found")</x:f>
        <x:v>Apparel</x:v>
      </x:c>
      <x:c r="H24" s="4" t="str">
        <x:f>IF(ISNA(VLOOKUP(C24,Inventory!$A$2:$F$21,2,FALSE)),"Review","OK")</x:f>
        <x:v>OK</x:v>
      </x:c>
      <x:c r="I24" s="2" t="str">
        <x:f>IFERROR(INDEX(Inventory!$B$2:$B$21,MATCH(C24,Inventory!$A$2:$A$21,0)),"Product Not Found")</x:f>
        <x:v>Denim Jeans</x:v>
      </x:c>
      <x:c r="J24" s="2" t="str">
        <x:f ca="1">_xlfn.XLOOKUP(C24,'Inventory'!$A$2:$A$21,'Inventory'!$B$2:$B$21,"Product Not Found")</x:f>
        <x:v>Denim Jeans</x:v>
      </x:c>
      <x:c r="K24" s="9" t="str">
        <x:f>IFERROR(INDEX(Markup!$B$2:$E$9,MATCH(C24,Markup!$A$2:$A$9,0),MATCH(E24,Markup!$B$1:$E$1,0)),"No Markup Data")</x:f>
        <x:v>No Markup Data</x:v>
      </x:c>
      <x:c r="L24" s="9" t="str">
        <x:f>IFERROR(IF(D24&gt;5,INDEX('Markup'!$B$2:$E$9,MATCH(C24,'Markup'!$A$2:$A$9,0),MATCH(E24,'Markup'!$B$1:$E$1,0))-'Markup'!$H$14,INDEX('Markup'!$B$2:$E$9,MATCH(C24,'Markup'!$A$2:$A$9,0),MATCH(E24,'Markup'!$B$1:$E$1,0))),"No Markup Data")</x:f>
        <x:v>No Markup Data</x:v>
      </x:c>
      <x:c r="M24" s="3" t="n">
        <x:f ca="1">_xlfn.XLOOKUP(C24,'Inventory'!$A$2:$A$21,'Inventory'!$D$2:$D$21,0)</x:f>
        <x:v>1299</x:v>
      </x:c>
      <x:c r="N24" s="3" t="n">
        <x:f t="shared" ca="1" si="0">D24*M24</x:f>
        <x:v>10392</x:v>
      </x:c>
      <x:c r="O24" s="9" t="n">
        <x:f ca="1">VLOOKUP(N24,'Markup'!$G$7:$H$11,2,TRUE)</x:f>
        <x:v>0.07</x:v>
      </x:c>
      <x:c r="P24" s="10" t="n">
        <x:f t="shared" ca="1" si="1">ROUND(N24*O24,2)</x:f>
        <x:v>727.44</x:v>
      </x:c>
    </x:row>
    <x:row r="25">
      <x:c r="A25" s="4" t="s">
        <x:v>98</x:v>
      </x:c>
      <x:c r="B25" s="11">
        <x:v>46212</x:v>
      </x:c>
      <x:c r="C25" s="4" t="s">
        <x:v>52</x:v>
      </x:c>
      <x:c r="D25" s="12">
        <x:v>2</x:v>
      </x:c>
      <x:c r="E25" s="4" t="s">
        <x:v>71</x:v>
      </x:c>
      <x:c r="F25" s="2" t="str">
        <x:f>IFERROR(VLOOKUP(C25,Inventory!$A$2:$F$21,2,FALSE),"Product Not Found")</x:f>
        <x:v>Table Lamp</x:v>
      </x:c>
      <x:c r="G25" s="2" t="str">
        <x:f>IFERROR(VLOOKUP(C25,Inventory!$A$2:$F$21,3,FALSE),"Product Not Found")</x:f>
        <x:v>Home &amp; Kitchen</x:v>
      </x:c>
      <x:c r="H25" s="4" t="str">
        <x:f>IF(ISNA(VLOOKUP(C25,Inventory!$A$2:$F$21,2,FALSE)),"Review","OK")</x:f>
        <x:v>OK</x:v>
      </x:c>
      <x:c r="I25" s="2" t="str">
        <x:f>IFERROR(INDEX(Inventory!$B$2:$B$21,MATCH(C25,Inventory!$A$2:$A$21,0)),"Product Not Found")</x:f>
        <x:v>Table Lamp</x:v>
      </x:c>
      <x:c r="J25" s="2" t="str">
        <x:f ca="1">_xlfn.XLOOKUP(C25,'Inventory'!$A$2:$A$21,'Inventory'!$B$2:$B$21,"Product Not Found")</x:f>
        <x:v>Table Lamp</x:v>
      </x:c>
      <x:c r="K25" s="9" t="str">
        <x:f>IFERROR(INDEX(Markup!$B$2:$E$9,MATCH(C25,Markup!$A$2:$A$9,0),MATCH(E25,Markup!$B$1:$E$1,0)),"No Markup Data")</x:f>
        <x:v>No Markup Data</x:v>
      </x:c>
      <x:c r="L25" s="9" t="str">
        <x:f>IFERROR(IF(D25&gt;5,INDEX('Markup'!$B$2:$E$9,MATCH(C25,'Markup'!$A$2:$A$9,0),MATCH(E25,'Markup'!$B$1:$E$1,0))-'Markup'!$H$14,INDEX('Markup'!$B$2:$E$9,MATCH(C25,'Markup'!$A$2:$A$9,0),MATCH(E25,'Markup'!$B$1:$E$1,0))),"No Markup Data")</x:f>
        <x:v>No Markup Data</x:v>
      </x:c>
      <x:c r="M25" s="3" t="n">
        <x:f ca="1">_xlfn.XLOOKUP(C25,'Inventory'!$A$2:$A$21,'Inventory'!$D$2:$D$21,0)</x:f>
        <x:v>749</x:v>
      </x:c>
      <x:c r="N25" s="3" t="n">
        <x:f t="shared" ca="1" si="0">D25*M25</x:f>
        <x:v>1498</x:v>
      </x:c>
      <x:c r="O25" s="9" t="n">
        <x:f ca="1">VLOOKUP(N25,'Markup'!$G$7:$H$11,2,TRUE)</x:f>
        <x:v>0.02</x:v>
      </x:c>
      <x:c r="P25" s="10" t="n">
        <x:f t="shared" ca="1" si="1">ROUND(N25*O25,2)</x:f>
        <x:v>29.96</x:v>
      </x:c>
    </x:row>
    <x:row r="26">
      <x:c r="A26" s="4" t="s">
        <x:v>99</x:v>
      </x:c>
      <x:c r="B26" s="11">
        <x:v>46221</x:v>
      </x:c>
      <x:c r="C26" s="4" t="s">
        <x:v>39</x:v>
      </x:c>
      <x:c r="D26" s="12">
        <x:v>3</x:v>
      </x:c>
      <x:c r="E26" s="4" t="s">
        <x:v>71</x:v>
      </x:c>
      <x:c r="F26" s="2" t="str">
        <x:f>IFERROR(VLOOKUP(C26,Inventory!$A$2:$F$21,2,FALSE),"Product Not Found")</x:f>
        <x:v>Cricket Bat</x:v>
      </x:c>
      <x:c r="G26" s="2" t="str">
        <x:f>IFERROR(VLOOKUP(C26,Inventory!$A$2:$F$21,3,FALSE),"Product Not Found")</x:f>
        <x:v>Sports</x:v>
      </x:c>
      <x:c r="H26" s="4" t="str">
        <x:f>IF(ISNA(VLOOKUP(C26,Inventory!$A$2:$F$21,2,FALSE)),"Review","OK")</x:f>
        <x:v>OK</x:v>
      </x:c>
      <x:c r="I26" s="2" t="str">
        <x:f>IFERROR(INDEX(Inventory!$B$2:$B$21,MATCH(C26,Inventory!$A$2:$A$21,0)),"Product Not Found")</x:f>
        <x:v>Cricket Bat</x:v>
      </x:c>
      <x:c r="J26" s="2" t="str">
        <x:f ca="1">_xlfn.XLOOKUP(C26,'Inventory'!$A$2:$A$21,'Inventory'!$B$2:$B$21,"Product Not Found")</x:f>
        <x:v>Cricket Bat</x:v>
      </x:c>
      <x:c r="K26" s="9" t="str">
        <x:f>IFERROR(INDEX(Markup!$B$2:$E$9,MATCH(C26,Markup!$A$2:$A$9,0),MATCH(E26,Markup!$B$1:$E$1,0)),"No Markup Data")</x:f>
        <x:v>No Markup Data</x:v>
      </x:c>
      <x:c r="L26" s="9" t="str">
        <x:f>IFERROR(IF(D26&gt;5,INDEX('Markup'!$B$2:$E$9,MATCH(C26,'Markup'!$A$2:$A$9,0),MATCH(E26,'Markup'!$B$1:$E$1,0))-'Markup'!$H$14,INDEX('Markup'!$B$2:$E$9,MATCH(C26,'Markup'!$A$2:$A$9,0),MATCH(E26,'Markup'!$B$1:$E$1,0))),"No Markup Data")</x:f>
        <x:v>No Markup Data</x:v>
      </x:c>
      <x:c r="M26" s="3" t="n">
        <x:f ca="1">_xlfn.XLOOKUP(C26,'Inventory'!$A$2:$A$21,'Inventory'!$D$2:$D$21,0)</x:f>
        <x:v>1499</x:v>
      </x:c>
      <x:c r="N26" s="3" t="n">
        <x:f t="shared" ca="1" si="0">D26*M26</x:f>
        <x:v>4497</x:v>
      </x:c>
      <x:c r="O26" s="9" t="n">
        <x:f ca="1">VLOOKUP(N26,'Markup'!$G$7:$H$11,2,TRUE)</x:f>
        <x:v>0.03</x:v>
      </x:c>
      <x:c r="P26" s="10" t="n">
        <x:f t="shared" ca="1" si="1">ROUND(N26*O26,2)</x:f>
        <x:v>134.91</x:v>
      </x:c>
    </x:row>
    <x:row r="27">
      <x:c r="A27" s="4" t="s">
        <x:v>100</x:v>
      </x:c>
      <x:c r="B27" s="11">
        <x:v>46198</x:v>
      </x:c>
      <x:c r="C27" s="4" t="s">
        <x:v>15</x:v>
      </x:c>
      <x:c r="D27" s="12">
        <x:v>2</x:v>
      </x:c>
      <x:c r="E27" s="4" t="s">
        <x:v>69</x:v>
      </x:c>
      <x:c r="F27" s="2" t="str">
        <x:f>IFERROR(VLOOKUP(C27,Inventory!$A$2:$F$21,2,FALSE),"Product Not Found")</x:f>
        <x:v>Bluetooth Speaker</x:v>
      </x:c>
      <x:c r="G27" s="2" t="str">
        <x:f>IFERROR(VLOOKUP(C27,Inventory!$A$2:$F$21,3,FALSE),"Product Not Found")</x:f>
        <x:v>Electronics</x:v>
      </x:c>
      <x:c r="H27" s="4" t="str">
        <x:f>IF(ISNA(VLOOKUP(C27,Inventory!$A$2:$F$21,2,FALSE)),"Review","OK")</x:f>
        <x:v>OK</x:v>
      </x:c>
      <x:c r="I27" s="2" t="str">
        <x:f>IFERROR(INDEX(Inventory!$B$2:$B$21,MATCH(C27,Inventory!$A$2:$A$21,0)),"Product Not Found")</x:f>
        <x:v>Bluetooth Speaker</x:v>
      </x:c>
      <x:c r="J27" s="2" t="str">
        <x:f ca="1">_xlfn.XLOOKUP(C27,'Inventory'!$A$2:$A$21,'Inventory'!$B$2:$B$21,"Product Not Found")</x:f>
        <x:v>Bluetooth Speaker</x:v>
      </x:c>
      <x:c r="K27" s="9" t="n">
        <x:f>IFERROR(INDEX(Markup!$B$2:$E$9,MATCH(C27,Markup!$A$2:$A$9,0),MATCH(E27,Markup!$B$1:$E$1,0)),"No Markup Data")</x:f>
        <x:v>0.06</x:v>
      </x:c>
      <x:c r="L27" s="9" t="n">
        <x:f>IFERROR(IF(D27&gt;5,INDEX('Markup'!$B$2:$E$9,MATCH(C27,'Markup'!$A$2:$A$9,0),MATCH(E27,'Markup'!$B$1:$E$1,0))-'Markup'!$H$14,INDEX('Markup'!$B$2:$E$9,MATCH(C27,'Markup'!$A$2:$A$9,0),MATCH(E27,'Markup'!$B$1:$E$1,0))),"No Markup Data")</x:f>
        <x:v>0.06</x:v>
      </x:c>
      <x:c r="M27" s="3" t="n">
        <x:f ca="1">_xlfn.XLOOKUP(C27,'Inventory'!$A$2:$A$21,'Inventory'!$D$2:$D$21,0)</x:f>
        <x:v>1499</x:v>
      </x:c>
      <x:c r="N27" s="3" t="n">
        <x:f t="shared" ca="1" si="0">D27*M27</x:f>
        <x:v>2998</x:v>
      </x:c>
      <x:c r="O27" s="9" t="n">
        <x:f ca="1">VLOOKUP(N27,'Markup'!$G$7:$H$11,2,TRUE)</x:f>
        <x:v>0.03</x:v>
      </x:c>
      <x:c r="P27" s="10" t="n">
        <x:f t="shared" ca="1" si="1">ROUND(N27*O27,2)</x:f>
        <x:v>89.94</x:v>
      </x:c>
    </x:row>
    <x:row r="28">
      <x:c r="A28" s="4" t="s">
        <x:v>101</x:v>
      </x:c>
      <x:c r="B28" s="11">
        <x:v>46182</x:v>
      </x:c>
      <x:c r="C28" s="4" t="s">
        <x:v>31</x:v>
      </x:c>
      <x:c r="D28" s="12">
        <x:v>3</x:v>
      </x:c>
      <x:c r="E28" s="4" t="s">
        <x:v>69</x:v>
      </x:c>
      <x:c r="F28" s="2" t="str">
        <x:f>IFERROR(VLOOKUP(C28,Inventory!$A$2:$F$21,2,FALSE),"Product Not Found")</x:f>
        <x:v>Cotton T-Shirt</x:v>
      </x:c>
      <x:c r="G28" s="2" t="str">
        <x:f>IFERROR(VLOOKUP(C28,Inventory!$A$2:$F$21,3,FALSE),"Product Not Found")</x:f>
        <x:v>Apparel</x:v>
      </x:c>
      <x:c r="H28" s="4" t="str">
        <x:f>IF(ISNA(VLOOKUP(C28,Inventory!$A$2:$F$21,2,FALSE)),"Review","OK")</x:f>
        <x:v>OK</x:v>
      </x:c>
      <x:c r="I28" s="2" t="str">
        <x:f>IFERROR(INDEX(Inventory!$B$2:$B$21,MATCH(C28,Inventory!$A$2:$A$21,0)),"Product Not Found")</x:f>
        <x:v>Cotton T-Shirt</x:v>
      </x:c>
      <x:c r="J28" s="2" t="str">
        <x:f ca="1">_xlfn.XLOOKUP(C28,'Inventory'!$A$2:$A$21,'Inventory'!$B$2:$B$21,"Product Not Found")</x:f>
        <x:v>Cotton T-Shirt</x:v>
      </x:c>
      <x:c r="K28" s="9" t="str">
        <x:f>IFERROR(INDEX(Markup!$B$2:$E$9,MATCH(C28,Markup!$A$2:$A$9,0),MATCH(E28,Markup!$B$1:$E$1,0)),"No Markup Data")</x:f>
        <x:v>No Markup Data</x:v>
      </x:c>
      <x:c r="L28" s="9" t="str">
        <x:f>IFERROR(IF(D28&gt;5,INDEX('Markup'!$B$2:$E$9,MATCH(C28,'Markup'!$A$2:$A$9,0),MATCH(E28,'Markup'!$B$1:$E$1,0))-'Markup'!$H$14,INDEX('Markup'!$B$2:$E$9,MATCH(C28,'Markup'!$A$2:$A$9,0),MATCH(E28,'Markup'!$B$1:$E$1,0))),"No Markup Data")</x:f>
        <x:v>No Markup Data</x:v>
      </x:c>
      <x:c r="M28" s="3" t="n">
        <x:f ca="1">_xlfn.XLOOKUP(C28,'Inventory'!$A$2:$A$21,'Inventory'!$D$2:$D$21,0)</x:f>
        <x:v>599</x:v>
      </x:c>
      <x:c r="N28" s="3" t="n">
        <x:f t="shared" ca="1" si="0">D28*M28</x:f>
        <x:v>1797</x:v>
      </x:c>
      <x:c r="O28" s="9" t="n">
        <x:f ca="1">VLOOKUP(N28,'Markup'!$G$7:$H$11,2,TRUE)</x:f>
        <x:v>0.02</x:v>
      </x:c>
      <x:c r="P28" s="10" t="n">
        <x:f t="shared" ca="1" si="1">ROUND(N28*O28,2)</x:f>
        <x:v>35.94</x:v>
      </x:c>
    </x:row>
    <x:row r="29">
      <x:c r="A29" s="4" t="s">
        <x:v>102</x:v>
      </x:c>
      <x:c r="B29" s="11">
        <x:v>46188</x:v>
      </x:c>
      <x:c r="C29" s="4" t="s">
        <x:v>46</x:v>
      </x:c>
      <x:c r="D29" s="12">
        <x:v>8</x:v>
      </x:c>
      <x:c r="E29" s="4" t="s">
        <x:v>71</x:v>
      </x:c>
      <x:c r="F29" s="2" t="str">
        <x:f>IFERROR(VLOOKUP(C29,Inventory!$A$2:$F$21,2,FALSE),"Product Not Found")</x:f>
        <x:v>Non-Stick Pan</x:v>
      </x:c>
      <x:c r="G29" s="2" t="str">
        <x:f>IFERROR(VLOOKUP(C29,Inventory!$A$2:$F$21,3,FALSE),"Product Not Found")</x:f>
        <x:v>Home &amp; Kitchen</x:v>
      </x:c>
      <x:c r="H29" s="4" t="str">
        <x:f>IF(ISNA(VLOOKUP(C29,Inventory!$A$2:$F$21,2,FALSE)),"Review","OK")</x:f>
        <x:v>OK</x:v>
      </x:c>
      <x:c r="I29" s="2" t="str">
        <x:f>IFERROR(INDEX(Inventory!$B$2:$B$21,MATCH(C29,Inventory!$A$2:$A$21,0)),"Product Not Found")</x:f>
        <x:v>Non-Stick Pan</x:v>
      </x:c>
      <x:c r="J29" s="2" t="str">
        <x:f ca="1">_xlfn.XLOOKUP(C29,'Inventory'!$A$2:$A$21,'Inventory'!$B$2:$B$21,"Product Not Found")</x:f>
        <x:v>Non-Stick Pan</x:v>
      </x:c>
      <x:c r="K29" s="9" t="str">
        <x:f>IFERROR(INDEX(Markup!$B$2:$E$9,MATCH(C29,Markup!$A$2:$A$9,0),MATCH(E29,Markup!$B$1:$E$1,0)),"No Markup Data")</x:f>
        <x:v>No Markup Data</x:v>
      </x:c>
      <x:c r="L29" s="9" t="str">
        <x:f>IFERROR(IF(D29&gt;5,INDEX('Markup'!$B$2:$E$9,MATCH(C29,'Markup'!$A$2:$A$9,0),MATCH(E29,'Markup'!$B$1:$E$1,0))-'Markup'!$H$14,INDEX('Markup'!$B$2:$E$9,MATCH(C29,'Markup'!$A$2:$A$9,0),MATCH(E29,'Markup'!$B$1:$E$1,0))),"No Markup Data")</x:f>
        <x:v>No Markup Data</x:v>
      </x:c>
      <x:c r="M29" s="3" t="n">
        <x:f ca="1">_xlfn.XLOOKUP(C29,'Inventory'!$A$2:$A$21,'Inventory'!$D$2:$D$21,0)</x:f>
        <x:v>1199</x:v>
      </x:c>
      <x:c r="N29" s="3" t="n">
        <x:f t="shared" ca="1" si="0">D29*M29</x:f>
        <x:v>9592</x:v>
      </x:c>
      <x:c r="O29" s="9" t="n">
        <x:f ca="1">VLOOKUP(N29,'Markup'!$G$7:$H$11,2,TRUE)</x:f>
        <x:v>0.05</x:v>
      </x:c>
      <x:c r="P29" s="10" t="n">
        <x:f t="shared" ca="1" si="1">ROUND(N29*O29,2)</x:f>
        <x:v>479.6</x:v>
      </x:c>
    </x:row>
    <x:row r="30">
      <x:c r="A30" s="4" t="s">
        <x:v>103</x:v>
      </x:c>
      <x:c r="B30" s="11">
        <x:v>46217</x:v>
      </x:c>
      <x:c r="C30" s="4" t="s">
        <x:v>27</x:v>
      </x:c>
      <x:c r="D30" s="12">
        <x:v>1</x:v>
      </x:c>
      <x:c r="E30" s="4" t="s">
        <x:v>75</x:v>
      </x:c>
      <x:c r="F30" s="2" t="str">
        <x:f>IFERROR(VLOOKUP(C30,Inventory!$A$2:$F$21,2,FALSE),"Product Not Found")</x:f>
        <x:v>Moisturizer</x:v>
      </x:c>
      <x:c r="G30" s="2" t="str">
        <x:f>IFERROR(VLOOKUP(C30,Inventory!$A$2:$F$21,3,FALSE),"Product Not Found")</x:f>
        <x:v>Beauty</x:v>
      </x:c>
      <x:c r="H30" s="4" t="str">
        <x:f>IF(ISNA(VLOOKUP(C30,Inventory!$A$2:$F$21,2,FALSE)),"Review","OK")</x:f>
        <x:v>OK</x:v>
      </x:c>
      <x:c r="I30" s="2" t="str">
        <x:f>IFERROR(INDEX(Inventory!$B$2:$B$21,MATCH(C30,Inventory!$A$2:$A$21,0)),"Product Not Found")</x:f>
        <x:v>Moisturizer</x:v>
      </x:c>
      <x:c r="J30" s="2" t="str">
        <x:f ca="1">_xlfn.XLOOKUP(C30,'Inventory'!$A$2:$A$21,'Inventory'!$B$2:$B$21,"Product Not Found")</x:f>
        <x:v>Moisturizer</x:v>
      </x:c>
      <x:c r="K30" s="9" t="n">
        <x:f>IFERROR(INDEX(Markup!$B$2:$E$9,MATCH(C30,Markup!$A$2:$A$9,0),MATCH(E30,Markup!$B$1:$E$1,0)),"No Markup Data")</x:f>
        <x:v>0.03</x:v>
      </x:c>
      <x:c r="L30" s="9" t="n">
        <x:f>IFERROR(IF(D30&gt;5,INDEX('Markup'!$B$2:$E$9,MATCH(C30,'Markup'!$A$2:$A$9,0),MATCH(E30,'Markup'!$B$1:$E$1,0))-'Markup'!$H$14,INDEX('Markup'!$B$2:$E$9,MATCH(C30,'Markup'!$A$2:$A$9,0),MATCH(E30,'Markup'!$B$1:$E$1,0))),"No Markup Data")</x:f>
        <x:v>0.03</x:v>
      </x:c>
      <x:c r="M30" s="3" t="n">
        <x:f ca="1">_xlfn.XLOOKUP(C30,'Inventory'!$A$2:$A$21,'Inventory'!$D$2:$D$21,0)</x:f>
        <x:v>349</x:v>
      </x:c>
      <x:c r="N30" s="3" t="n">
        <x:f t="shared" ca="1" si="0">D30*M30</x:f>
        <x:v>349</x:v>
      </x:c>
      <x:c r="O30" s="9" t="n">
        <x:f ca="1">VLOOKUP(N30,'Markup'!$G$7:$H$11,2,TRUE)</x:f>
        <x:v>0</x:v>
      </x:c>
      <x:c r="P30" s="10" t="n">
        <x:f t="shared" ca="1" si="1">ROUND(N30*O30,2)</x:f>
        <x:v>0</x:v>
      </x:c>
    </x:row>
    <x:row r="31">
      <x:c r="A31" s="4" t="s">
        <x:v>104</x:v>
      </x:c>
      <x:c r="B31" s="11">
        <x:v>46224</x:v>
      </x:c>
      <x:c r="C31" s="4" t="s">
        <x:v>27</x:v>
      </x:c>
      <x:c r="D31" s="12">
        <x:v>5</x:v>
      </x:c>
      <x:c r="E31" s="4" t="s">
        <x:v>69</x:v>
      </x:c>
      <x:c r="F31" s="2" t="str">
        <x:f>IFERROR(VLOOKUP(C31,Inventory!$A$2:$F$21,2,FALSE),"Product Not Found")</x:f>
        <x:v>Moisturizer</x:v>
      </x:c>
      <x:c r="G31" s="2" t="str">
        <x:f>IFERROR(VLOOKUP(C31,Inventory!$A$2:$F$21,3,FALSE),"Product Not Found")</x:f>
        <x:v>Beauty</x:v>
      </x:c>
      <x:c r="H31" s="4" t="str">
        <x:f>IF(ISNA(VLOOKUP(C31,Inventory!$A$2:$F$21,2,FALSE)),"Review","OK")</x:f>
        <x:v>OK</x:v>
      </x:c>
      <x:c r="I31" s="2" t="str">
        <x:f>IFERROR(INDEX(Inventory!$B$2:$B$21,MATCH(C31,Inventory!$A$2:$A$21,0)),"Product Not Found")</x:f>
        <x:v>Moisturizer</x:v>
      </x:c>
      <x:c r="J31" s="2" t="str">
        <x:f ca="1">_xlfn.XLOOKUP(C31,'Inventory'!$A$2:$A$21,'Inventory'!$B$2:$B$21,"Product Not Found")</x:f>
        <x:v>Moisturizer</x:v>
      </x:c>
      <x:c r="K31" s="9" t="n">
        <x:f>IFERROR(INDEX(Markup!$B$2:$E$9,MATCH(C31,Markup!$A$2:$A$9,0),MATCH(E31,Markup!$B$1:$E$1,0)),"No Markup Data")</x:f>
        <x:v>0.09</x:v>
      </x:c>
      <x:c r="L31" s="9" t="n">
        <x:f>IFERROR(IF(D31&gt;5,INDEX('Markup'!$B$2:$E$9,MATCH(C31,'Markup'!$A$2:$A$9,0),MATCH(E31,'Markup'!$B$1:$E$1,0))-'Markup'!$H$14,INDEX('Markup'!$B$2:$E$9,MATCH(C31,'Markup'!$A$2:$A$9,0),MATCH(E31,'Markup'!$B$1:$E$1,0))),"No Markup Data")</x:f>
        <x:v>0.09</x:v>
      </x:c>
      <x:c r="M31" s="3" t="n">
        <x:f ca="1">_xlfn.XLOOKUP(C31,'Inventory'!$A$2:$A$21,'Inventory'!$D$2:$D$21,0)</x:f>
        <x:v>349</x:v>
      </x:c>
      <x:c r="N31" s="3" t="n">
        <x:f t="shared" ca="1" si="0">D31*M31</x:f>
        <x:v>1745</x:v>
      </x:c>
      <x:c r="O31" s="9" t="n">
        <x:f ca="1">VLOOKUP(N31,'Markup'!$G$7:$H$11,2,TRUE)</x:f>
        <x:v>0.02</x:v>
      </x:c>
      <x:c r="P31" s="10" t="n">
        <x:f t="shared" ca="1" si="1">ROUND(N31*O31,2)</x:f>
        <x:v>34.9</x:v>
      </x:c>
    </x:row>
    <x:row r="34">
      <x:c r="A34" s="15" t="s">
        <x:v>105</x:v>
      </x:c>
      <x:c r="B34" s="17"/>
      <x:c r="C34" s="17"/>
      <x:c r="D34" s="16"/>
    </x:row>
    <x:row r="35">
      <x:c r="A35" s="18" t="s">
        <x:v>106</x:v>
      </x:c>
      <x:c r="B35" s="19"/>
      <x:c r="C35" s="19"/>
      <x:c r="D35" s="13" t="str">
        <x:f>VLOOKUP("P018",Inventory!$A$2:$F$21,2)</x:f>
        <x:v>Water Bottle</x:v>
      </x:c>
    </x:row>
    <x:row r="36">
      <x:c r="A36" s="18" t="s">
        <x:v>107</x:v>
      </x:c>
      <x:c r="B36" s="19"/>
      <x:c r="C36" s="19"/>
      <x:c r="D36" s="13" t="str">
        <x:f>VLOOKUP("P018",Inventory!$A$2:$F$21,2,FALSE)</x:f>
        <x:v>Water Bottle</x:v>
      </x:c>
    </x:row>
    <x:row r="37">
      <x:c r="A37" s="18" t="s">
        <x:v>108</x:v>
      </x:c>
      <x:c r="B37" s="19"/>
      <x:c r="C37" s="19"/>
      <x:c r="D37" s="13" t="n">
        <x:f>COUNTIF(H2:H31,"Review")</x:f>
        <x:v>3</x:v>
      </x:c>
    </x:row>
    <x:row r="39" ht="30" customHeight="1">
      <x:c r="A39" s="20" t="s">
        <x:v>109</x:v>
      </x:c>
      <x:c r="B39" s="21"/>
      <x:c r="C39" s="21"/>
      <x:c r="D39" s="21"/>
      <x:c r="E39" s="21"/>
      <x:c r="F39" s="21"/>
      <x:c r="G39" s="21"/>
      <x:c r="H39" s="22"/>
    </x:row>
    <x:row r="40" ht="30" customHeight="1">
      <x:c r="A40" s="23"/>
      <x:c r="B40" s="24"/>
      <x:c r="C40" s="24"/>
      <x:c r="D40" s="24"/>
      <x:c r="E40" s="24"/>
      <x:c r="F40" s="24"/>
      <x:c r="G40" s="24"/>
      <x:c r="H40" s="25"/>
    </x:row>
  </x:sheetData>
  <x:mergeCells>
    <x:mergeCell ref="A34:D34"/>
    <x:mergeCell ref="A35:C35"/>
    <x:mergeCell ref="A36:C36"/>
    <x:mergeCell ref="A37:C37"/>
    <x:mergeCell ref="A39:H40"/>
  </x:mergeCells>
  <x:conditionalFormatting sqref="A2:P31">
    <x:cfRule type="expression" dxfId="0" priority="1">
      <x:formula>$H2="Review"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ec4f22d93947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5" width="17" customWidth="1"/>
    <x:col min="7" max="7" width="14" customWidth="1"/>
    <x:col min="8" max="9" width="22" customWidth="1"/>
  </x:cols>
  <x:sheetData>
    <x:row r="1" ht="30" customHeight="1">
      <x:c r="A1" s="1" t="s">
        <x:v>59</x:v>
      </x:c>
      <x:c r="B1" s="1" t="s">
        <x:v>110</x:v>
      </x:c>
      <x:c r="C1" s="1" t="s">
        <x:v>111</x:v>
      </x:c>
      <x:c r="D1" s="1" t="s">
        <x:v>112</x:v>
      </x:c>
      <x:c r="E1" s="1" t="s">
        <x:v>113</x:v>
      </x:c>
      <x:c r="G1" s="1" t="s">
        <x:v>59</x:v>
      </x:c>
      <x:c r="H1" s="1" t="s">
        <x:v>114</x:v>
      </x:c>
      <x:c r="I1" s="1" t="s">
        <x:v>115</x:v>
      </x:c>
    </x:row>
    <x:row r="2">
      <x:c r="A2" s="2" t="s">
        <x:v>69</x:v>
      </x:c>
      <x:c r="B2" s="3">
        <x:v>250000</x:v>
      </x:c>
      <x:c r="C2" s="3">
        <x:v>275000</x:v>
      </x:c>
      <x:c r="D2" s="3">
        <x:v>260000</x:v>
      </x:c>
      <x:c r="E2" s="3">
        <x:v>300000</x:v>
      </x:c>
      <x:c r="G2" s="5" t="s">
        <x:v>69</x:v>
      </x:c>
      <x:c r="H2" s="8" t="n">
        <x:f>HLOOKUP("Q3 Target",QuarterlyTargets!$A$1:$E$5,MATCH(G2,QuarterlyTargets!$A$1:$A$5,0),FALSE)</x:f>
        <x:v>260000</x:v>
      </x:c>
      <x:c r="I2" s="8" t="n">
        <x:f>HLOOKUP("Q4 Target",QuarterlyTargets!$A$1:$E$5,MATCH(G2,QuarterlyTargets!$A$1:$A$5,0),FALSE)</x:f>
        <x:v>300000</x:v>
      </x:c>
    </x:row>
    <x:row r="3">
      <x:c r="A3" s="2" t="s">
        <x:v>73</x:v>
      </x:c>
      <x:c r="B3" s="3">
        <x:v>220000</x:v>
      </x:c>
      <x:c r="C3" s="3">
        <x:v>230000</x:v>
      </x:c>
      <x:c r="D3" s="3">
        <x:v>245000</x:v>
      </x:c>
      <x:c r="E3" s="3">
        <x:v>260000</x:v>
      </x:c>
      <x:c r="G3" s="5" t="s">
        <x:v>73</x:v>
      </x:c>
      <x:c r="H3" s="8" t="n">
        <x:f>HLOOKUP("Q3 Target",QuarterlyTargets!$A$1:$E$5,MATCH(G3,QuarterlyTargets!$A$1:$A$5,0),FALSE)</x:f>
        <x:v>245000</x:v>
      </x:c>
      <x:c r="I3" s="8" t="n">
        <x:f>HLOOKUP("Q4 Target",QuarterlyTargets!$A$1:$E$5,MATCH(G3,QuarterlyTargets!$A$1:$A$5,0),FALSE)</x:f>
        <x:v>260000</x:v>
      </x:c>
    </x:row>
    <x:row r="4">
      <x:c r="A4" s="2" t="s">
        <x:v>71</x:v>
      </x:c>
      <x:c r="B4" s="3">
        <x:v>180000</x:v>
      </x:c>
      <x:c r="C4" s="3">
        <x:v>190000</x:v>
      </x:c>
      <x:c r="D4" s="3">
        <x:v>200000</x:v>
      </x:c>
      <x:c r="E4" s="3">
        <x:v>210000</x:v>
      </x:c>
      <x:c r="G4" s="5" t="s">
        <x:v>71</x:v>
      </x:c>
      <x:c r="H4" s="8" t="n">
        <x:f>HLOOKUP("Q3 Target",QuarterlyTargets!$A$1:$E$5,MATCH(G4,QuarterlyTargets!$A$1:$A$5,0),FALSE)</x:f>
        <x:v>200000</x:v>
      </x:c>
      <x:c r="I4" s="8" t="n">
        <x:f>HLOOKUP("Q4 Target",QuarterlyTargets!$A$1:$E$5,MATCH(G4,QuarterlyTargets!$A$1:$A$5,0),FALSE)</x:f>
        <x:v>210000</x:v>
      </x:c>
    </x:row>
    <x:row r="5">
      <x:c r="A5" s="2" t="s">
        <x:v>75</x:v>
      </x:c>
      <x:c r="B5" s="3">
        <x:v>300000</x:v>
      </x:c>
      <x:c r="C5" s="3">
        <x:v>310000</x:v>
      </x:c>
      <x:c r="D5" s="3">
        <x:v>295000</x:v>
      </x:c>
      <x:c r="E5" s="3">
        <x:v>330000</x:v>
      </x:c>
      <x:c r="G5" s="5" t="s">
        <x:v>75</x:v>
      </x:c>
      <x:c r="H5" s="8" t="n">
        <x:f>HLOOKUP("Q3 Target",QuarterlyTargets!$A$1:$E$5,MATCH(G5,QuarterlyTargets!$A$1:$A$5,0),FALSE)</x:f>
        <x:v>295000</x:v>
      </x:c>
      <x:c r="I5" s="8" t="n">
        <x:f>HLOOKUP("Q4 Target",QuarterlyTargets!$A$1:$E$5,MATCH(G5,QuarterlyTargets!$A$1:$A$5,0),FALSE)</x:f>
        <x:v>330000</x:v>
      </x:c>
    </x:row>
  </x:sheetData>
  <x:pageMargins left="0.7" right="0.7" top="0.75" bottom="0.75" header="0.3" footer="0.3"/>
  <x:tableParts count="1">
    <x:tablePart xmlns:r="http://schemas.openxmlformats.org/officeDocument/2006/relationships" r:id="Rf43190a7cf214e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6" customWidth="1"/>
    <x:col min="2" max="5" width="13" customWidth="1"/>
    <x:col min="7" max="7" width="20" customWidth="1"/>
    <x:col min="8" max="8" width="17" customWidth="1"/>
  </x:cols>
  <x:sheetData>
    <x:row r="1" ht="30" customHeight="1">
      <x:c r="A1" s="1" t="s">
        <x:v>0</x:v>
      </x:c>
      <x:c r="B1" s="1" t="s">
        <x:v>69</x:v>
      </x:c>
      <x:c r="C1" s="1" t="s">
        <x:v>73</x:v>
      </x:c>
      <x:c r="D1" s="1" t="s">
        <x:v>71</x:v>
      </x:c>
      <x:c r="E1" s="1" t="s">
        <x:v>75</x:v>
      </x:c>
      <x:c r="G1" s="15" t="s">
        <x:v>116</x:v>
      </x:c>
      <x:c r="H1" s="16"/>
    </x:row>
    <x:row r="2">
      <x:c r="A2" s="2" t="s">
        <x:v>8</x:v>
      </x:c>
      <x:c r="B2" s="9">
        <x:v>7.0000000000000007E-2</x:v>
      </x:c>
      <x:c r="C2" s="9">
        <x:v>0.08</x:v>
      </x:c>
      <x:c r="D2" s="9">
        <x:v>0.1</x:v>
      </x:c>
      <x:c r="E2" s="9">
        <x:v>0.05</x:v>
      </x:c>
      <x:c r="G2" s="6" t="s">
        <x:v>117</x:v>
      </x:c>
      <x:c r="H2" s="14" t="n">
        <x:f>INDEX(Markup!$B$2:$E$9,MATCH("P003",Markup!$A$2:$A$9,0),MATCH("East",Markup!$B$1:$E$1,0))</x:f>
        <x:v>0.04</x:v>
      </x:c>
    </x:row>
    <x:row r="3">
      <x:c r="A3" s="2" t="s">
        <x:v>12</x:v>
      </x:c>
      <x:c r="B3" s="9">
        <x:v>0.05</x:v>
      </x:c>
      <x:c r="C3" s="9">
        <x:v>0.09</x:v>
      </x:c>
      <x:c r="D3" s="9">
        <x:v>7.0000000000000007E-2</x:v>
      </x:c>
      <x:c r="E3" s="9">
        <x:v>0.06</x:v>
      </x:c>
      <x:c r="G3" s="6" t="s">
        <x:v>118</x:v>
      </x:c>
      <x:c r="H3" s="14" t="n">
        <x:f>INDEX(Markup!$B$2:$E$9,MATCH("P008",Markup!$A$2:$A$9,0),MATCH("South",Markup!$B$1:$E$1,0))</x:f>
        <x:v>0.05</x:v>
      </x:c>
    </x:row>
    <x:row r="4">
      <x:c r="A4" s="2" t="s">
        <x:v>15</x:v>
      </x:c>
      <x:c r="B4" s="9">
        <x:v>0.06</x:v>
      </x:c>
      <x:c r="C4" s="9">
        <x:v>0.05</x:v>
      </x:c>
      <x:c r="D4" s="9">
        <x:v>0.04</x:v>
      </x:c>
      <x:c r="E4" s="9">
        <x:v>0.08</x:v>
      </x:c>
    </x:row>
    <x:row r="5">
      <x:c r="A5" s="2" t="s">
        <x:v>17</x:v>
      </x:c>
      <x:c r="B5" s="9">
        <x:v>0.11</x:v>
      </x:c>
      <x:c r="C5" s="9">
        <x:v>0.09</x:v>
      </x:c>
      <x:c r="D5" s="9">
        <x:v>0.08</x:v>
      </x:c>
      <x:c r="E5" s="9">
        <x:v>0.05</x:v>
      </x:c>
      <x:c r="G5" s="31" t="str">
        <x:v>Commission Tiers</x:v>
      </x:c>
      <x:c r="H5" s="32" t="str">
        <x:v>Commission Tiers</x:v>
      </x:c>
    </x:row>
    <x:row r="6">
      <x:c r="A6" s="2" t="s">
        <x:v>20</x:v>
      </x:c>
      <x:c r="B6" s="9">
        <x:v>0.06</x:v>
      </x:c>
      <x:c r="C6" s="9">
        <x:v>0.03</x:v>
      </x:c>
      <x:c r="D6" s="9">
        <x:v>0.09</x:v>
      </x:c>
      <x:c r="E6" s="9">
        <x:v>0.05</x:v>
      </x:c>
      <x:c r="G6" s="38" t="str">
        <x:v>Sales Amount From</x:v>
      </x:c>
      <x:c r="H6" s="38" t="str">
        <x:v>Commission %</x:v>
      </x:c>
    </x:row>
    <x:row r="7">
      <x:c r="A7" s="2" t="s">
        <x:v>22</x:v>
      </x:c>
      <x:c r="B7" s="9">
        <x:v>0.05</x:v>
      </x:c>
      <x:c r="C7" s="9">
        <x:v>0.12</x:v>
      </x:c>
      <x:c r="D7" s="9">
        <x:v>0.05</x:v>
      </x:c>
      <x:c r="E7" s="9">
        <x:v>0.12</x:v>
      </x:c>
      <x:c r="G7" s="39" t="n">
        <x:v>0</x:v>
      </x:c>
      <x:c r="H7" s="40" t="n">
        <x:v>0</x:v>
      </x:c>
    </x:row>
    <x:row r="8">
      <x:c r="A8" s="2" t="s">
        <x:v>24</x:v>
      </x:c>
      <x:c r="B8" s="9">
        <x:v>0.08</x:v>
      </x:c>
      <x:c r="C8" s="9">
        <x:v>0.1</x:v>
      </x:c>
      <x:c r="D8" s="9">
        <x:v>0.08</x:v>
      </x:c>
      <x:c r="E8" s="9">
        <x:v>0.04</x:v>
      </x:c>
      <x:c r="G8" s="39" t="n">
        <x:v>1000</x:v>
      </x:c>
      <x:c r="H8" s="40" t="n">
        <x:v>0.02</x:v>
      </x:c>
    </x:row>
    <x:row r="9">
      <x:c r="A9" s="2" t="s">
        <x:v>27</x:v>
      </x:c>
      <x:c r="B9" s="9">
        <x:v>0.09</x:v>
      </x:c>
      <x:c r="C9" s="9">
        <x:v>0.05</x:v>
      </x:c>
      <x:c r="D9" s="9">
        <x:v>0.06</x:v>
      </x:c>
      <x:c r="E9" s="9">
        <x:v>0.03</x:v>
      </x:c>
      <x:c r="G9" s="39" t="n">
        <x:v>2500</x:v>
      </x:c>
      <x:c r="H9" s="40" t="n">
        <x:v>0.03</x:v>
      </x:c>
    </x:row>
    <x:row r="10">
      <x:c r="G10" s="39" t="n">
        <x:v>5000</x:v>
      </x:c>
      <x:c r="H10" s="40" t="n">
        <x:v>0.05</x:v>
      </x:c>
    </x:row>
    <x:row r="11">
      <x:c r="G11" s="39" t="n">
        <x:v>10000</x:v>
      </x:c>
      <x:c r="H11" s="40" t="n">
        <x:v>0.07</x:v>
      </x:c>
    </x:row>
    <x:row r="12">
      <x:c r="G12" s="26"/>
      <x:c r="H12" s="26"/>
    </x:row>
    <x:row r="13" ht="24" customHeight="1">
      <x:c r="G13" s="31" t="str">
        <x:v>Bulk-Order Assumption</x:v>
      </x:c>
      <x:c r="H13" s="32" t="str">
        <x:v>Bulk-Order Assumption</x:v>
      </x:c>
    </x:row>
    <x:row r="14" ht="30" customHeight="1">
      <x:c r="G14" s="42" t="str">
        <x:v>Discount for Qty &gt; 5</x:v>
      </x:c>
      <x:c r="H14" s="43" t="n">
        <x:v>0.02</x:v>
      </x:c>
    </x:row>
  </x:sheetData>
  <x:mergeCells>
    <x:mergeCell ref="G1:H1"/>
    <x:mergeCell ref="G5:H5"/>
    <x:mergeCell ref="G13:H13"/>
  </x:mergeCells>
  <x:pageMargins left="0.7" right="0.7" top="0.75" bottom="0.75" header="0.3" footer="0.3"/>
  <x:tableParts count="1">
    <x:tablePart xmlns:r="http://schemas.openxmlformats.org/officeDocument/2006/relationships" r:id="R1b72785a65c94e46"/>
  </x:tableParts>
</x:worksheet>
</file>